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4155" yWindow="570" windowWidth="15045" windowHeight="7440"/>
  </bookViews>
  <sheets>
    <sheet name="astrollインストール手順書(環境構築スクリプト使用)" sheetId="13" r:id="rId1"/>
    <sheet name="astrollインストール手順書(手動)" sheetId="1" r:id="rId2"/>
    <sheet name="【参考】my.cnf変更箇所リスト" sheetId="2" r:id="rId3"/>
    <sheet name="【参考】ansible.cfg変更箇所リスト" sheetId="3" r:id="rId4"/>
    <sheet name="【参考】php.ini変更箇所リスト" sheetId="4" r:id="rId5"/>
    <sheet name="755,777権限リスト" sheetId="16" r:id="rId6"/>
    <sheet name="ITA設定ファイル説明" sheetId="9" r:id="rId7"/>
    <sheet name="暗号化ツール" sheetId="15" r:id="rId8"/>
  </sheets>
  <definedNames>
    <definedName name="_xlnm._FilterDatabase" localSheetId="3" hidden="1">【参考】ansible.cfg変更箇所リスト!$B$4:$F$23</definedName>
    <definedName name="_xlnm._FilterDatabase" localSheetId="2" hidden="1">【参考】my.cnf変更箇所リスト!$B$4:$F$29</definedName>
    <definedName name="_xlnm._FilterDatabase" localSheetId="4" hidden="1">【参考】php.ini変更箇所リスト!$B$4:$F$28</definedName>
    <definedName name="_xlnm._FilterDatabase" localSheetId="0" hidden="1">'astrollインストール手順書(環境構築スクリプト使用)'!$B$12:$R$39</definedName>
    <definedName name="_xlnm._FilterDatabase" localSheetId="1" hidden="1">'astrollインストール手順書(手動)'!$B$12:$R$101</definedName>
    <definedName name="_xlnm._FilterDatabase" localSheetId="6" hidden="1">ITA設定ファイル説明!$B$4:$J$31</definedName>
    <definedName name="_xlnm.Print_Area" localSheetId="3">【参考】ansible.cfg変更箇所リスト!$B$2:$F$28</definedName>
    <definedName name="_xlnm.Print_Area" localSheetId="2">【参考】my.cnf変更箇所リスト!$B$2:$F$31</definedName>
    <definedName name="_xlnm.Print_Area" localSheetId="4">【参考】php.ini変更箇所リスト!$B$2:$F$30</definedName>
    <definedName name="_xlnm.Print_Area" localSheetId="0">'astrollインストール手順書(環境構築スクリプト使用)'!$A$1:$Q$40</definedName>
    <definedName name="_xlnm.Print_Area" localSheetId="1">'astrollインストール手順書(手動)'!$A$1:$Q$102</definedName>
    <definedName name="_xlnm.Print_Area" localSheetId="6">ITA設定ファイル説明!$B$2:$J$31</definedName>
    <definedName name="_xlnm.Print_Titles" localSheetId="0">'astrollインストール手順書(環境構築スクリプト使用)'!$11:$12</definedName>
    <definedName name="_xlnm.Print_Titles" localSheetId="1">'astrollインストール手順書(手動)'!$11:$12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3" l="1"/>
  <c r="B9" i="1" l="1"/>
  <c r="C22" i="13" l="1"/>
  <c r="B3" i="1" l="1"/>
  <c r="B3" i="13"/>
  <c r="B14" i="13" l="1"/>
  <c r="C14" i="13"/>
  <c r="N15" i="13"/>
  <c r="N19" i="13"/>
  <c r="B15" i="13" l="1"/>
  <c r="B16" i="13" l="1"/>
  <c r="B17" i="13" l="1"/>
  <c r="B19" i="13" l="1"/>
  <c r="B20" i="13" s="1"/>
  <c r="N23" i="13"/>
  <c r="C21" i="1" l="1"/>
  <c r="B22" i="13" l="1"/>
  <c r="N22" i="1" l="1"/>
  <c r="B14" i="1" l="1"/>
  <c r="B15" i="1" l="1"/>
  <c r="B16" i="1" l="1"/>
  <c r="B17" i="1" l="1"/>
  <c r="B18" i="1" l="1"/>
  <c r="B19" i="1" l="1"/>
  <c r="B20" i="1" l="1"/>
  <c r="B21" i="1" l="1"/>
  <c r="B22" i="1" s="1"/>
  <c r="B23" i="1" l="1"/>
  <c r="B24" i="1" s="1"/>
  <c r="B25" i="1" s="1"/>
  <c r="B26" i="1" s="1"/>
  <c r="B28" i="1" l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1" i="1" s="1"/>
  <c r="B42" i="1" s="1"/>
  <c r="B43" i="1" s="1"/>
  <c r="B45" i="1" s="1"/>
  <c r="B46" i="1" l="1"/>
  <c r="B47" i="1" s="1"/>
  <c r="B48" i="1" s="1"/>
  <c r="B49" i="1" s="1"/>
  <c r="B50" i="1" l="1"/>
  <c r="B51" i="1" s="1"/>
  <c r="B52" i="1" l="1"/>
  <c r="B53" i="1" s="1"/>
  <c r="B55" i="1" l="1"/>
  <c r="B56" i="1" s="1"/>
  <c r="B57" i="1" s="1"/>
  <c r="B58" i="1" l="1"/>
  <c r="B59" i="1" s="1"/>
  <c r="B60" i="1" s="1"/>
  <c r="B61" i="1" s="1"/>
  <c r="B62" i="1" s="1"/>
  <c r="B63" i="1" l="1"/>
  <c r="B64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l="1"/>
  <c r="B82" i="1" s="1"/>
  <c r="B83" i="1" s="1"/>
  <c r="B84" i="1" s="1"/>
  <c r="B85" i="1" s="1"/>
  <c r="B86" i="1" s="1"/>
  <c r="B87" i="1" s="1"/>
  <c r="B88" i="1" l="1"/>
  <c r="B89" i="1" s="1"/>
  <c r="B91" i="1" l="1"/>
  <c r="B92" i="1" s="1"/>
  <c r="B94" i="1" l="1"/>
  <c r="B96" i="1" l="1"/>
  <c r="B97" i="1" s="1"/>
  <c r="B99" i="1" s="1"/>
  <c r="B100" i="1" s="1"/>
  <c r="B23" i="13" l="1"/>
  <c r="B24" i="13" l="1"/>
  <c r="B25" i="13" l="1"/>
  <c r="B26" i="13" l="1"/>
  <c r="B27" i="13" s="1"/>
  <c r="B28" i="13" l="1"/>
  <c r="B29" i="13" s="1"/>
  <c r="B30" i="13" l="1"/>
  <c r="B31" i="13" l="1"/>
  <c r="B32" i="13" s="1"/>
  <c r="B33" i="13" s="1"/>
  <c r="B35" i="13" l="1"/>
  <c r="B37" i="13" l="1"/>
  <c r="B38" i="13" s="1"/>
</calcChain>
</file>

<file path=xl/sharedStrings.xml><?xml version="1.0" encoding="utf-8"?>
<sst xmlns="http://schemas.openxmlformats.org/spreadsheetml/2006/main" count="1032" uniqueCount="492">
  <si>
    <t>手順名</t>
    <rPh sb="0" eb="2">
      <t>テジュン</t>
    </rPh>
    <rPh sb="2" eb="3">
      <t>メイ</t>
    </rPh>
    <phoneticPr fontId="2"/>
  </si>
  <si>
    <t>№</t>
    <phoneticPr fontId="2"/>
  </si>
  <si>
    <t>目的</t>
    <rPh sb="0" eb="2">
      <t>モクテキ</t>
    </rPh>
    <phoneticPr fontId="2"/>
  </si>
  <si>
    <t>設定</t>
    <rPh sb="0" eb="2">
      <t>セッテイ</t>
    </rPh>
    <phoneticPr fontId="2"/>
  </si>
  <si>
    <t>確認</t>
    <rPh sb="0" eb="2">
      <t>カクニン</t>
    </rPh>
    <phoneticPr fontId="2"/>
  </si>
  <si>
    <t>備考</t>
    <rPh sb="0" eb="2">
      <t>ビコウ</t>
    </rPh>
    <phoneticPr fontId="2"/>
  </si>
  <si>
    <t>コマンド</t>
    <phoneticPr fontId="2"/>
  </si>
  <si>
    <t>内容</t>
    <rPh sb="0" eb="2">
      <t>ナイヨウ</t>
    </rPh>
    <phoneticPr fontId="2"/>
  </si>
  <si>
    <t>-</t>
    <phoneticPr fontId="2"/>
  </si>
  <si>
    <t>動作環境</t>
    <rPh sb="0" eb="2">
      <t>ドウサ</t>
    </rPh>
    <rPh sb="2" eb="4">
      <t>カンキョウ</t>
    </rPh>
    <phoneticPr fontId="2"/>
  </si>
  <si>
    <t>-</t>
    <phoneticPr fontId="2"/>
  </si>
  <si>
    <t>SeLinux設定をOFFにする</t>
    <rPh sb="7" eb="9">
      <t>セッテイ</t>
    </rPh>
    <phoneticPr fontId="2"/>
  </si>
  <si>
    <t>vi /etc/selinux/config</t>
    <phoneticPr fontId="2"/>
  </si>
  <si>
    <t>SELINUX=disabled</t>
    <phoneticPr fontId="2"/>
  </si>
  <si>
    <t>reboot</t>
    <phoneticPr fontId="2"/>
  </si>
  <si>
    <t>Swap領域確保</t>
    <phoneticPr fontId="2"/>
  </si>
  <si>
    <t>dd if=/dev/zero of=/swapfile bs=1M count=2048</t>
    <phoneticPr fontId="2"/>
  </si>
  <si>
    <t xml:space="preserve">下記のようなメッセージが表示されること。
================================================================
2048+0 records in
2048+0 records out
2147483648 bytes (2.1 GB) copied, 21.6201 s, 99.3 MB/s
================================================================
</t>
    <phoneticPr fontId="2"/>
  </si>
  <si>
    <t>mkswap /swapfile</t>
    <phoneticPr fontId="2"/>
  </si>
  <si>
    <t xml:space="preserve">下記のようなメッセージが表示されること。
================================================================
Setting up swapspace version 1, size = 2097148 KiB
no label, UUID=c98fd8e2-3514-40f6-a703-f5fa520f5a39
================================================================
</t>
    <phoneticPr fontId="2"/>
  </si>
  <si>
    <t>swapon /swapfile</t>
    <phoneticPr fontId="2"/>
  </si>
  <si>
    <t xml:space="preserve">下記のようなメッセージが表示されること。
================================================================
swapon: /swapfile: insecure permissions 0644, 0600 suggested.
================================================================
</t>
    <phoneticPr fontId="2"/>
  </si>
  <si>
    <t>vi /etc/fstab</t>
    <phoneticPr fontId="1"/>
  </si>
  <si>
    <t xml:space="preserve">/swapfile swap swap defaults 0 0
</t>
    <phoneticPr fontId="2"/>
  </si>
  <si>
    <t xml:space="preserve">cat /etc/fstab
記載内容が確認できること。
</t>
    <phoneticPr fontId="2"/>
  </si>
  <si>
    <t>秘密鍵を生成する</t>
    <rPh sb="0" eb="2">
      <t>ヒミツ</t>
    </rPh>
    <rPh sb="2" eb="3">
      <t>カギ</t>
    </rPh>
    <rPh sb="4" eb="6">
      <t>セイセイ</t>
    </rPh>
    <phoneticPr fontId="2"/>
  </si>
  <si>
    <t>ssh-keygen -t rsa</t>
    <phoneticPr fontId="2"/>
  </si>
  <si>
    <t xml:space="preserve">※passphrase無しで生成する。
</t>
    <phoneticPr fontId="2"/>
  </si>
  <si>
    <t>Ansible</t>
    <phoneticPr fontId="2"/>
  </si>
  <si>
    <t>Cobbler</t>
    <phoneticPr fontId="2"/>
  </si>
  <si>
    <t>OpenStack</t>
    <phoneticPr fontId="2"/>
  </si>
  <si>
    <t>DSC</t>
    <phoneticPr fontId="2"/>
  </si>
  <si>
    <t>共通</t>
    <rPh sb="0" eb="2">
      <t>キョウツウ</t>
    </rPh>
    <phoneticPr fontId="2"/>
  </si>
  <si>
    <t>●</t>
    <phoneticPr fontId="2"/>
  </si>
  <si>
    <r>
      <t>Swap領域を確認する。
⇒</t>
    </r>
    <r>
      <rPr>
        <u/>
        <sz val="11"/>
        <color rgb="FFFF0000"/>
        <rFont val="ＭＳ Ｐゴシック"/>
        <family val="3"/>
        <charset val="128"/>
        <scheme val="minor"/>
      </rPr>
      <t>Swapが適切でない場合</t>
    </r>
    <r>
      <rPr>
        <sz val="11"/>
        <color theme="1"/>
        <rFont val="ＭＳ Ｐゴシック"/>
        <family val="2"/>
        <charset val="128"/>
        <scheme val="minor"/>
      </rPr>
      <t xml:space="preserve">に下記を実施。
</t>
    </r>
    <rPh sb="20" eb="22">
      <t>テキセツ</t>
    </rPh>
    <phoneticPr fontId="2"/>
  </si>
  <si>
    <t xml:space="preserve">pwd
⇒/tmpが表示されること
</t>
    <phoneticPr fontId="2"/>
  </si>
  <si>
    <t>ターゲットサーバにrootでパスフレーズ無しのログインができるように、
秘密鍵を生成する。
(生成した秘密鍵はターゲットサーバで使用する。)</t>
    <phoneticPr fontId="2"/>
  </si>
  <si>
    <t>MySQL起動確認</t>
    <rPh sb="5" eb="7">
      <t>キドウ</t>
    </rPh>
    <rPh sb="7" eb="9">
      <t>カクニン</t>
    </rPh>
    <phoneticPr fontId="2"/>
  </si>
  <si>
    <t xml:space="preserve">systemctl status mysqld
⇒「active (running)」と表示されること
</t>
    <rPh sb="44" eb="46">
      <t>ヒョウジ</t>
    </rPh>
    <phoneticPr fontId="2"/>
  </si>
  <si>
    <t xml:space="preserve">systemctl status mysqld
⇒「inactive (dead)」と表示されること
</t>
    <rPh sb="43" eb="45">
      <t>ヒョウジ</t>
    </rPh>
    <phoneticPr fontId="2"/>
  </si>
  <si>
    <t>MySQLコンフィグ配置</t>
    <rPh sb="10" eb="12">
      <t>ハイチ</t>
    </rPh>
    <phoneticPr fontId="2"/>
  </si>
  <si>
    <t xml:space="preserve">ls -l /etc/my.cnf_original
⇒ファイルが存在すること
</t>
    <rPh sb="33" eb="35">
      <t>ソンザイ</t>
    </rPh>
    <phoneticPr fontId="2"/>
  </si>
  <si>
    <t>tmp_table_size=32M</t>
  </si>
  <si>
    <t>(追加)
※[mysqld]の範囲内に記載する。</t>
    <rPh sb="1" eb="3">
      <t>ツイカ</t>
    </rPh>
    <phoneticPr fontId="2"/>
  </si>
  <si>
    <t>参考</t>
    <rPh sb="0" eb="2">
      <t>サンコウ</t>
    </rPh>
    <phoneticPr fontId="2"/>
  </si>
  <si>
    <t>max_heap_table_size=32M</t>
  </si>
  <si>
    <t>query_cache_type=1</t>
  </si>
  <si>
    <t>query_cache_size=512M</t>
  </si>
  <si>
    <t>query_cache_limit=16</t>
  </si>
  <si>
    <t>sort_buffer_size=32</t>
  </si>
  <si>
    <t>read_rnd_buffer_size=32</t>
  </si>
  <si>
    <t>read_buffer_size=32</t>
  </si>
  <si>
    <t>max_allowed_packet=8M</t>
  </si>
  <si>
    <t>join_buffer_size=128M</t>
  </si>
  <si>
    <t>key_buffer_size=256M</t>
  </si>
  <si>
    <t>min_examined_row_limit=1000</t>
  </si>
  <si>
    <t>innodb_log_file_size=256M</t>
  </si>
  <si>
    <t>innodb_log_buffer_size=32M</t>
  </si>
  <si>
    <t>innodb_large_prefix</t>
  </si>
  <si>
    <t>必須</t>
    <rPh sb="0" eb="2">
      <t>ヒッス</t>
    </rPh>
    <phoneticPr fontId="2"/>
  </si>
  <si>
    <t xml:space="preserve">Barracudaを指定することでDBファイルが圧縮されるため、多少のCPUパワーと引き換えに十分なパフォーマンスを引き出してくれる。
※インデックスの最大文字列数も716バイト→3017バイトに拡張される。
</t>
    <phoneticPr fontId="2"/>
  </si>
  <si>
    <t>innodb_file_format=Barracuda</t>
  </si>
  <si>
    <t>innodb_file_per_table</t>
  </si>
  <si>
    <t>innodb_buffer_pool_size = 1024MB</t>
  </si>
  <si>
    <t>sql_mode=NO_ENGINE_SUBSTITUTION,STRICT_TRANS_TABLES</t>
  </si>
  <si>
    <t>max_connections=100</t>
  </si>
  <si>
    <t>character-set-server = utf8</t>
  </si>
  <si>
    <t>explicit_defaults_for_timestamp = true</t>
  </si>
  <si>
    <t>skip-character-set-client-handshake</t>
  </si>
  <si>
    <t>log_timestamps=SYSTEM</t>
  </si>
  <si>
    <t>default_password_lifetime = 0</t>
  </si>
  <si>
    <t>変更後</t>
    <rPh sb="0" eb="2">
      <t>ヘンコウ</t>
    </rPh>
    <rPh sb="2" eb="3">
      <t>ゴ</t>
    </rPh>
    <phoneticPr fontId="2"/>
  </si>
  <si>
    <t>変更前</t>
    <rPh sb="0" eb="2">
      <t>ヘンコウ</t>
    </rPh>
    <rPh sb="2" eb="3">
      <t>マエ</t>
    </rPh>
    <phoneticPr fontId="2"/>
  </si>
  <si>
    <t>必須/参考</t>
    <rPh sb="0" eb="2">
      <t>ヒッス</t>
    </rPh>
    <rPh sb="3" eb="5">
      <t>サンコウ</t>
    </rPh>
    <phoneticPr fontId="2"/>
  </si>
  <si>
    <t>№</t>
    <phoneticPr fontId="2"/>
  </si>
  <si>
    <t>my.cnf変更箇所リスト</t>
    <phoneticPr fontId="2"/>
  </si>
  <si>
    <t>※コメント解除＋変更</t>
    <rPh sb="5" eb="7">
      <t>カイジョ</t>
    </rPh>
    <rPh sb="8" eb="10">
      <t>ヘンコウ</t>
    </rPh>
    <phoneticPr fontId="2"/>
  </si>
  <si>
    <t>ssh_args = -o ControlMaster=no -o ControlPersist=60s -o StrictHostKeyChecking=no -o UserKnownHostsFile=/dev/null</t>
    <phoneticPr fontId="2"/>
  </si>
  <si>
    <t>ssh_args = -o ControlMaster=auto -o ControlPersist=60s</t>
    <phoneticPr fontId="2"/>
  </si>
  <si>
    <t>deprecation_warnings = False</t>
    <phoneticPr fontId="2"/>
  </si>
  <si>
    <t>#deprecation_warnings = True</t>
    <phoneticPr fontId="2"/>
  </si>
  <si>
    <t>※コメント解除</t>
    <rPh sb="5" eb="7">
      <t>カイジョ</t>
    </rPh>
    <phoneticPr fontId="2"/>
  </si>
  <si>
    <t>accelerate_daemon_timeout = 30</t>
  </si>
  <si>
    <t>#accelerate_daemon_timeout = 30</t>
  </si>
  <si>
    <t>accelerate_connect_timeout = 5.0</t>
  </si>
  <si>
    <t>#accelerate_connect_timeout = 5.0</t>
  </si>
  <si>
    <t>accelerate_timeout = 30</t>
  </si>
  <si>
    <t>#accelerate_timeout = 30</t>
  </si>
  <si>
    <t>accelerate_port = 5099</t>
    <phoneticPr fontId="2"/>
  </si>
  <si>
    <t>#accelerate_port = 5099</t>
  </si>
  <si>
    <t>fact_caching = memory</t>
    <phoneticPr fontId="2"/>
  </si>
  <si>
    <t>#fact_caching = memory</t>
  </si>
  <si>
    <t>filter_plugins     = /usr/share/ansible/plugins/filter</t>
  </si>
  <si>
    <t>#filter_plugins     = /usr/share/ansible/plugins/filter</t>
  </si>
  <si>
    <t>vars_plugins       = /usr/share/ansible/plugins/vars</t>
  </si>
  <si>
    <t>#vars_plugins       = /usr/share/ansible/plugins/vars</t>
  </si>
  <si>
    <t>lookup_plugins     = /usr/share/ansible/plugins/lookup</t>
  </si>
  <si>
    <t>#lookup_plugins     = /usr/share/ansible/plugins/lookup</t>
  </si>
  <si>
    <t>connection_plugins = /usr/share/ansible/plugins/connection</t>
  </si>
  <si>
    <t>#connection_plugins = /usr/share/ansible/plugins/connection</t>
  </si>
  <si>
    <t>callback_plugins   = /usr/share/ansible/plugins/callback</t>
  </si>
  <si>
    <t>#callback_plugins   = /usr/share/ansible/plugins/callback</t>
  </si>
  <si>
    <t>action_plugins     = /usr/share/ansible/plugins/action</t>
    <phoneticPr fontId="2"/>
  </si>
  <si>
    <t>#action_plugins     = /usr/share/ansible/plugins/action</t>
  </si>
  <si>
    <t>ansible_managed = Ansible managed: {file} on {host}</t>
    <phoneticPr fontId="2"/>
  </si>
  <si>
    <t>#ansible_managed = Ansible managed: {file} on {host}</t>
    <phoneticPr fontId="2"/>
  </si>
  <si>
    <t>timeout = 10</t>
  </si>
  <si>
    <t>#timeout = 10</t>
  </si>
  <si>
    <t>sudo_exe = sudo</t>
  </si>
  <si>
    <t>#sudo_exe = sudo</t>
  </si>
  <si>
    <t>gathering = implicit</t>
  </si>
  <si>
    <t>#gathering = implicit</t>
  </si>
  <si>
    <t>module_lang    = C</t>
  </si>
  <si>
    <t>#module_lang    = C</t>
  </si>
  <si>
    <t>transport      = smart</t>
  </si>
  <si>
    <t>#transport      = smart</t>
  </si>
  <si>
    <t>sudo_user      = root</t>
  </si>
  <si>
    <t>#sudo_user      = root</t>
  </si>
  <si>
    <t>poll_interval  = 15</t>
  </si>
  <si>
    <t>#poll_interval  = 15</t>
  </si>
  <si>
    <t>forks          = 5</t>
  </si>
  <si>
    <t>#forks          = 5</t>
  </si>
  <si>
    <t>remote_tmp     = $HOME/.ansible/tmp</t>
  </si>
  <si>
    <t>#remote_tmp     = $HOME/.ansible/tmp</t>
  </si>
  <si>
    <t>inventory      = /etc/ansible/hosts</t>
    <phoneticPr fontId="2"/>
  </si>
  <si>
    <t>#inventory      = /etc/ansible/hosts</t>
    <phoneticPr fontId="2"/>
  </si>
  <si>
    <t>ansible.cfg変更箇所リスト</t>
    <rPh sb="11" eb="13">
      <t>ヘンコウ</t>
    </rPh>
    <rPh sb="13" eb="15">
      <t>カショ</t>
    </rPh>
    <phoneticPr fontId="2"/>
  </si>
  <si>
    <t>openssl.capath=/usr/local/apache/conf/▼▼▼▼▼▼▼▼.crt</t>
    <phoneticPr fontId="2"/>
  </si>
  <si>
    <t>;openssl.capath=</t>
    <phoneticPr fontId="2"/>
  </si>
  <si>
    <t xml:space="preserve">▼▼▼▼▼▼▼▼
⇒ホスト名
</t>
    <phoneticPr fontId="2"/>
  </si>
  <si>
    <t>openssl.cafile=/usr/local/apache/conf/▼▼▼▼▼▼▼▼.crt</t>
    <phoneticPr fontId="2"/>
  </si>
  <si>
    <t>;openssl.cafile=</t>
    <phoneticPr fontId="2"/>
  </si>
  <si>
    <t>mbstring.substitute_character = none</t>
    <phoneticPr fontId="2"/>
  </si>
  <si>
    <t>;mbstring.substitute_character = none</t>
    <phoneticPr fontId="2"/>
  </si>
  <si>
    <t>mbstring.detect_order = auto</t>
    <phoneticPr fontId="2"/>
  </si>
  <si>
    <t>;mbstring.detect_order = auto</t>
    <phoneticPr fontId="2"/>
  </si>
  <si>
    <t>mbstring.encoding_translation = Off</t>
    <phoneticPr fontId="2"/>
  </si>
  <si>
    <t>;mbstring.encoding_translation = Off</t>
    <phoneticPr fontId="2"/>
  </si>
  <si>
    <t>mbstring.http_output = UTF-8</t>
    <phoneticPr fontId="2"/>
  </si>
  <si>
    <t>;mbstring.http_output =</t>
    <phoneticPr fontId="2"/>
  </si>
  <si>
    <t>mbstring.http_input = auto</t>
    <phoneticPr fontId="2"/>
  </si>
  <si>
    <t>;mbstring.http_input =</t>
    <phoneticPr fontId="2"/>
  </si>
  <si>
    <t>mbstring.internal_encoding = UTF-8</t>
    <phoneticPr fontId="2"/>
  </si>
  <si>
    <t>;mbstring.internal_encoding =</t>
    <phoneticPr fontId="2"/>
  </si>
  <si>
    <t>mbstring.language = Japanese</t>
    <phoneticPr fontId="2"/>
  </si>
  <si>
    <t>;mbstring.language = Japanese</t>
    <phoneticPr fontId="2"/>
  </si>
  <si>
    <t xml:space="preserve">変更後のディレクトリは作成しておく必要がある。
デフォルト(/tmp)は非推奨。
</t>
    <rPh sb="0" eb="2">
      <t>ヘンコウ</t>
    </rPh>
    <rPh sb="2" eb="3">
      <t>ゴ</t>
    </rPh>
    <rPh sb="11" eb="13">
      <t>サクセイ</t>
    </rPh>
    <rPh sb="17" eb="19">
      <t>ヒツヨウ</t>
    </rPh>
    <rPh sb="36" eb="37">
      <t>ヒ</t>
    </rPh>
    <rPh sb="37" eb="39">
      <t>スイショウ</t>
    </rPh>
    <phoneticPr fontId="2"/>
  </si>
  <si>
    <t>;session.save_path = "/tmp"</t>
    <phoneticPr fontId="2"/>
  </si>
  <si>
    <t>mysql.connect_timeout = 600</t>
    <phoneticPr fontId="2"/>
  </si>
  <si>
    <t>mysql.connect_timeout = 60</t>
    <phoneticPr fontId="2"/>
  </si>
  <si>
    <t>mysql.cache_size = 4000</t>
    <phoneticPr fontId="2"/>
  </si>
  <si>
    <t>mysql.cache_size = 2000</t>
    <phoneticPr fontId="2"/>
  </si>
  <si>
    <t>pdo_mysql.default_socket=/var/lib/mysql/mysql.sock</t>
    <phoneticPr fontId="2"/>
  </si>
  <si>
    <t>pdo_mysql.default_socket=</t>
    <phoneticPr fontId="2"/>
  </si>
  <si>
    <t>pdo_mysql.cache_size = 4000</t>
    <phoneticPr fontId="2"/>
  </si>
  <si>
    <t>pdo_mysql.cache_size = 2000</t>
    <phoneticPr fontId="2"/>
  </si>
  <si>
    <t>date.timezone = "Asia/Tokyo"</t>
    <phoneticPr fontId="2"/>
  </si>
  <si>
    <t>;date.timezone =</t>
    <phoneticPr fontId="2"/>
  </si>
  <si>
    <t>default_socket_timeout = 600</t>
    <phoneticPr fontId="2"/>
  </si>
  <si>
    <t>default_socket_timeout = 60</t>
    <phoneticPr fontId="2"/>
  </si>
  <si>
    <t>upload_max_filesize = 64M</t>
    <phoneticPr fontId="2"/>
  </si>
  <si>
    <t>upload_max_filesize = 2M</t>
    <phoneticPr fontId="2"/>
  </si>
  <si>
    <t>include_path = ".:/php/includes:/usr/local/lib/php"</t>
    <phoneticPr fontId="2"/>
  </si>
  <si>
    <t>;include_path = ".:/php/includes"</t>
    <phoneticPr fontId="2"/>
  </si>
  <si>
    <t>post_max_size = 64M</t>
    <phoneticPr fontId="2"/>
  </si>
  <si>
    <t>post_max_size = 8M</t>
    <phoneticPr fontId="2"/>
  </si>
  <si>
    <t>memory_limit = 512M</t>
    <phoneticPr fontId="2"/>
  </si>
  <si>
    <t>memory_limit = 128M</t>
    <phoneticPr fontId="2"/>
  </si>
  <si>
    <t>max_input_time = 120</t>
    <phoneticPr fontId="2"/>
  </si>
  <si>
    <t>max_input_time = 60</t>
    <phoneticPr fontId="2"/>
  </si>
  <si>
    <t>max_execution_time = 600</t>
    <phoneticPr fontId="2"/>
  </si>
  <si>
    <t>max_execution_time = 30</t>
    <phoneticPr fontId="2"/>
  </si>
  <si>
    <t xml:space="preserve">PHPバージョンを隠す場合に設定を変更。
</t>
    <rPh sb="9" eb="10">
      <t>カク</t>
    </rPh>
    <rPh sb="11" eb="13">
      <t>バアイ</t>
    </rPh>
    <rPh sb="14" eb="16">
      <t>セッテイ</t>
    </rPh>
    <rPh sb="17" eb="19">
      <t>ヘンコウ</t>
    </rPh>
    <phoneticPr fontId="2"/>
  </si>
  <si>
    <t>expose_php = Off</t>
    <phoneticPr fontId="2"/>
  </si>
  <si>
    <t>expose_php = On</t>
    <phoneticPr fontId="2"/>
  </si>
  <si>
    <t>output_buffering = 8192</t>
    <phoneticPr fontId="2"/>
  </si>
  <si>
    <t>output_buffering = 4096</t>
    <phoneticPr fontId="2"/>
  </si>
  <si>
    <t>php.ini変更箇所リスト</t>
    <rPh sb="7" eb="9">
      <t>ヘンコウ</t>
    </rPh>
    <rPh sb="9" eb="11">
      <t>カショ</t>
    </rPh>
    <phoneticPr fontId="2"/>
  </si>
  <si>
    <t>○</t>
    <phoneticPr fontId="2"/>
  </si>
  <si>
    <t xml:space="preserve">PHPExcelのパスを記載。
本サンプル⇒「/usr/share/php/PHPExcel/Classes/」を記載
</t>
    <phoneticPr fontId="2"/>
  </si>
  <si>
    <t xml:space="preserve">HTML_AJAXのパスを記載。
本サンプル⇒「/usr/share/pear/」を記載
</t>
    <phoneticPr fontId="2"/>
  </si>
  <si>
    <t xml:space="preserve">システム管理者の連絡先(メールアドレス)を記載。
ファイルが無い場合
⇒「管理者へ連絡」といったリンクが無くなる
</t>
    <rPh sb="4" eb="7">
      <t>カンリシャ</t>
    </rPh>
    <rPh sb="8" eb="11">
      <t>レンラクサキ</t>
    </rPh>
    <rPh sb="21" eb="23">
      <t>キサイ</t>
    </rPh>
    <phoneticPr fontId="2"/>
  </si>
  <si>
    <t xml:space="preserve">RDBの種別を定義。
0：OracleDB
1：MySQL/MariaDB
</t>
    <rPh sb="4" eb="6">
      <t>シュベツ</t>
    </rPh>
    <rPh sb="7" eb="9">
      <t>テイギ</t>
    </rPh>
    <phoneticPr fontId="2"/>
  </si>
  <si>
    <t>○</t>
  </si>
  <si>
    <t xml:space="preserve">オペレーション作業履歴の保存期間(日数)を記載する。
ファイルが存在しており正数が記載されている場合
⇒ファイルに記載されている保存日数を超過したオペレーション作業履歴が廃止される。
(廃止＝論理削除)
ファイルが無いまたはファイル内容が正数でない場合
⇒オペレーション作業履歴の定期削除は実施されない。
</t>
    <rPh sb="7" eb="9">
      <t>サギョウ</t>
    </rPh>
    <rPh sb="9" eb="11">
      <t>リレキ</t>
    </rPh>
    <rPh sb="12" eb="14">
      <t>ホゾン</t>
    </rPh>
    <rPh sb="14" eb="16">
      <t>キカン</t>
    </rPh>
    <rPh sb="17" eb="19">
      <t>ニッスウ</t>
    </rPh>
    <rPh sb="65" eb="67">
      <t>ホゾン</t>
    </rPh>
    <rPh sb="67" eb="69">
      <t>ニッスウ</t>
    </rPh>
    <rPh sb="70" eb="72">
      <t>チョウカ</t>
    </rPh>
    <rPh sb="81" eb="83">
      <t>サギョウ</t>
    </rPh>
    <rPh sb="83" eb="85">
      <t>リレキ</t>
    </rPh>
    <rPh sb="86" eb="88">
      <t>ハイシ</t>
    </rPh>
    <rPh sb="94" eb="96">
      <t>ハイシ</t>
    </rPh>
    <rPh sb="97" eb="99">
      <t>ロンリ</t>
    </rPh>
    <rPh sb="99" eb="101">
      <t>サクジョ</t>
    </rPh>
    <rPh sb="137" eb="139">
      <t>サギョウ</t>
    </rPh>
    <rPh sb="139" eb="141">
      <t>リレキ</t>
    </rPh>
    <rPh sb="142" eb="144">
      <t>テイキ</t>
    </rPh>
    <rPh sb="144" eb="146">
      <t>サクジョ</t>
    </rPh>
    <rPh sb="147" eb="149">
      <t>ジッシ</t>
    </rPh>
    <phoneticPr fontId="2"/>
  </si>
  <si>
    <t xml:space="preserve">Cobblerサーバにて、データリレイストレージのルートパスを定義。
</t>
    <rPh sb="31" eb="33">
      <t>テイギ</t>
    </rPh>
    <phoneticPr fontId="2"/>
  </si>
  <si>
    <t xml:space="preserve">代入値自動登録設定の項目表示から除外するカラムを記載する。
「#」始まりの行は無視される。
</t>
    <rPh sb="33" eb="34">
      <t>ハジ</t>
    </rPh>
    <rPh sb="37" eb="38">
      <t>ギョウ</t>
    </rPh>
    <rPh sb="39" eb="41">
      <t>ムシ</t>
    </rPh>
    <phoneticPr fontId="2"/>
  </si>
  <si>
    <t>説明</t>
    <rPh sb="0" eb="2">
      <t>セツメイ</t>
    </rPh>
    <phoneticPr fontId="2"/>
  </si>
  <si>
    <t>設定ファイル名</t>
    <rPh sb="0" eb="2">
      <t>セッテイ</t>
    </rPh>
    <rPh sb="6" eb="7">
      <t>メイ</t>
    </rPh>
    <phoneticPr fontId="2"/>
  </si>
  <si>
    <t>MySQL起動</t>
    <rPh sb="5" eb="7">
      <t>キドウ</t>
    </rPh>
    <phoneticPr fontId="2"/>
  </si>
  <si>
    <t>MySQL常駐起動設定</t>
    <rPh sb="5" eb="7">
      <t>ジョウチュウ</t>
    </rPh>
    <rPh sb="7" eb="9">
      <t>キドウ</t>
    </rPh>
    <rPh sb="9" eb="11">
      <t>セッテイ</t>
    </rPh>
    <phoneticPr fontId="2"/>
  </si>
  <si>
    <t>systemctl start mysqld</t>
    <phoneticPr fontId="2"/>
  </si>
  <si>
    <t>systemctl enable mysqld</t>
    <phoneticPr fontId="2"/>
  </si>
  <si>
    <t xml:space="preserve">systemctl list-unit-files --type service | grep enabled | grep mysqld
⇒サービスのステータスが「enabled」と表示されること
</t>
    <rPh sb="92" eb="94">
      <t>ヒョウジ</t>
    </rPh>
    <phoneticPr fontId="2"/>
  </si>
  <si>
    <t>MySQL仮パスワード確認</t>
    <phoneticPr fontId="2"/>
  </si>
  <si>
    <t xml:space="preserve">出力されるテンポラリパスワードは次手順で利用する。
</t>
    <rPh sb="16" eb="17">
      <t>ジ</t>
    </rPh>
    <rPh sb="17" eb="19">
      <t>テジュン</t>
    </rPh>
    <rPh sb="20" eb="22">
      <t>リヨウ</t>
    </rPh>
    <phoneticPr fontId="2"/>
  </si>
  <si>
    <t>mysql_secure_installation</t>
    <phoneticPr fontId="2"/>
  </si>
  <si>
    <r>
      <t>下記の通り対話形式に答える。
※VALIDATE_PASSWORDプラグインにより、覚えきれないパスワードになってしまう。
Enter password for user root:</t>
    </r>
    <r>
      <rPr>
        <sz val="11"/>
        <color rgb="FFFF0000"/>
        <rFont val="ＭＳ Ｐゴシック"/>
        <family val="3"/>
        <charset val="128"/>
        <scheme val="minor"/>
      </rPr>
      <t>[上記で確認したテンポラリパスワード]</t>
    </r>
    <r>
      <rPr>
        <sz val="11"/>
        <color theme="1"/>
        <rFont val="ＭＳ Ｐゴシック"/>
        <family val="2"/>
        <charset val="128"/>
        <scheme val="minor"/>
      </rPr>
      <t xml:space="preserve">
New password: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Re-enter new password::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Change the password for root ? ((Press y|Y for Yes, any other key for No) :</t>
    </r>
    <r>
      <rPr>
        <sz val="11"/>
        <color rgb="FFFF0000"/>
        <rFont val="ＭＳ Ｐゴシック"/>
        <family val="3"/>
        <charset val="128"/>
        <scheme val="minor"/>
      </rPr>
      <t>[ブランク]</t>
    </r>
    <r>
      <rPr>
        <sz val="11"/>
        <color theme="1"/>
        <rFont val="ＭＳ Ｐゴシック"/>
        <family val="2"/>
        <charset val="128"/>
        <scheme val="minor"/>
      </rPr>
      <t xml:space="preserve">
Remove anonymous users?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Disallow root login remotely?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Remove test database and access to it?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Reload privilege tables now?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</t>
    </r>
    <phoneticPr fontId="2"/>
  </si>
  <si>
    <t>mysql --show-warnings -u root -p</t>
    <phoneticPr fontId="2"/>
  </si>
  <si>
    <t>MySQL初期設定</t>
    <phoneticPr fontId="2"/>
  </si>
  <si>
    <t>MySQLルートログイン</t>
    <phoneticPr fontId="2"/>
  </si>
  <si>
    <t xml:space="preserve">ログインできること
</t>
    <phoneticPr fontId="2"/>
  </si>
  <si>
    <t xml:space="preserve">「All done!」が表示されること
</t>
    <phoneticPr fontId="2"/>
  </si>
  <si>
    <t>VALIDATE_PASSWORD削除</t>
    <phoneticPr fontId="2"/>
  </si>
  <si>
    <t>uninstall plugin validate_password;</t>
    <phoneticPr fontId="2"/>
  </si>
  <si>
    <t xml:space="preserve">SHOW VARIABLES LIKE 'validate_password%';
⇒レコードが表示されないこと。
</t>
    <phoneticPr fontId="2"/>
  </si>
  <si>
    <t>MySQLルートパスワード変更</t>
    <phoneticPr fontId="2"/>
  </si>
  <si>
    <t xml:space="preserve">exit
⇒一旦MySQLから抜ける
mysql --show-warnings -u root -p[覚えやすい簡単なパスワード]
⇒ログインできること。
</t>
    <phoneticPr fontId="2"/>
  </si>
  <si>
    <t>Apache(httpd)インストール</t>
    <phoneticPr fontId="2"/>
  </si>
  <si>
    <t>zipインストール</t>
    <phoneticPr fontId="2"/>
  </si>
  <si>
    <t>PHPインストール</t>
    <phoneticPr fontId="2"/>
  </si>
  <si>
    <t>PHP Pearパッケージ類配置</t>
    <phoneticPr fontId="2"/>
  </si>
  <si>
    <t xml:space="preserve">systemctl list-unit-files --type service | grep enabled | grep httpd
⇒サービスのステータスが「enabled」と表示されること
</t>
    <rPh sb="91" eb="93">
      <t>ヒョウジ</t>
    </rPh>
    <phoneticPr fontId="2"/>
  </si>
  <si>
    <t xml:space="preserve">systemctl status httpd
⇒「active (running)」と表示されること
</t>
    <rPh sb="43" eb="45">
      <t>ヒョウジ</t>
    </rPh>
    <phoneticPr fontId="2"/>
  </si>
  <si>
    <t>Apache(httpd)常駐起動設定</t>
    <rPh sb="13" eb="15">
      <t>ジョウチュウ</t>
    </rPh>
    <rPh sb="15" eb="17">
      <t>キドウ</t>
    </rPh>
    <rPh sb="17" eb="19">
      <t>セッテイ</t>
    </rPh>
    <phoneticPr fontId="2"/>
  </si>
  <si>
    <t>Apache(httpd)起動</t>
    <rPh sb="13" eb="15">
      <t>キドウ</t>
    </rPh>
    <phoneticPr fontId="2"/>
  </si>
  <si>
    <t>systemctl enable httpd</t>
    <phoneticPr fontId="2"/>
  </si>
  <si>
    <t>expectインストール</t>
    <phoneticPr fontId="2"/>
  </si>
  <si>
    <t>pexpectインストール</t>
    <phoneticPr fontId="2"/>
  </si>
  <si>
    <t>pywinrmインストール</t>
    <phoneticPr fontId="2"/>
  </si>
  <si>
    <t xml:space="preserve">pip freeze | grep pywinrm
⇒pywinrmが表示されること
</t>
    <rPh sb="35" eb="37">
      <t>ヒョウジ</t>
    </rPh>
    <phoneticPr fontId="2"/>
  </si>
  <si>
    <t>Ansibleインストール</t>
    <phoneticPr fontId="2"/>
  </si>
  <si>
    <t>sudoersファイル変更</t>
    <phoneticPr fontId="2"/>
  </si>
  <si>
    <t xml:space="preserve">差分が下記の通りであること
56c56
&lt; # Defaults    requiretty
---
&gt; Defaults    requiretty
99,102d98
&lt;
&lt; daemon       ALL=(ALL) NOPASSWD:ALL
&lt; apache       ALL=(ALL) NOPASSWD:ALL
&lt; exec_ansible ALL=(ALL) NOPASSWD:ALL
</t>
    <rPh sb="0" eb="2">
      <t>サブン</t>
    </rPh>
    <rPh sb="3" eb="5">
      <t>カキ</t>
    </rPh>
    <rPh sb="6" eb="7">
      <t>トオ</t>
    </rPh>
    <phoneticPr fontId="2"/>
  </si>
  <si>
    <t>mv /etc/sudoers /etc/sudoers_original</t>
    <phoneticPr fontId="2"/>
  </si>
  <si>
    <t xml:space="preserve">ls -l /etc/sudoers_original
⇒ファイルが存在すること
</t>
    <rPh sb="34" eb="36">
      <t>ソンザイ</t>
    </rPh>
    <phoneticPr fontId="2"/>
  </si>
  <si>
    <t xml:space="preserve">ls -l /etc/sudoers
⇒ファイルが存在すること
</t>
    <rPh sb="25" eb="27">
      <t>ソンザイ</t>
    </rPh>
    <phoneticPr fontId="2"/>
  </si>
  <si>
    <t>Ansible設定ファイル変更</t>
    <phoneticPr fontId="2"/>
  </si>
  <si>
    <t>mv /etc/ansible/ansible.cfg /etc/ansible/ansible.cfg_original</t>
    <phoneticPr fontId="2"/>
  </si>
  <si>
    <t xml:space="preserve">ls -l /etc/ansible/ansible.cfg_original
⇒ファイルが存在すること
</t>
    <rPh sb="46" eb="48">
      <t>ソンザイ</t>
    </rPh>
    <phoneticPr fontId="2"/>
  </si>
  <si>
    <t xml:space="preserve">ls -l /etc/ansible/ansible.cfg
⇒ファイルが存在すること
</t>
    <rPh sb="37" eb="39">
      <t>ソンザイ</t>
    </rPh>
    <phoneticPr fontId="2"/>
  </si>
  <si>
    <t>Cobblerインストール</t>
    <phoneticPr fontId="2"/>
  </si>
  <si>
    <t>●</t>
  </si>
  <si>
    <t>tftpファイル変更</t>
    <phoneticPr fontId="2"/>
  </si>
  <si>
    <t xml:space="preserve">差分が下記の通りであること
14c14
&lt;       disable                 = no
---
&gt;       disable                 = yes
</t>
    <rPh sb="0" eb="2">
      <t>サブン</t>
    </rPh>
    <rPh sb="3" eb="5">
      <t>カキ</t>
    </rPh>
    <rPh sb="6" eb="7">
      <t>トオ</t>
    </rPh>
    <phoneticPr fontId="2"/>
  </si>
  <si>
    <t>mv /etc/xinetd.d/tftp /etc/xinetd.d/tftp_original</t>
    <phoneticPr fontId="2"/>
  </si>
  <si>
    <t xml:space="preserve">ls -l /etc/xinetd.d/tftp_original
⇒ファイルが存在すること
</t>
    <rPh sb="40" eb="42">
      <t>ソンザイ</t>
    </rPh>
    <phoneticPr fontId="2"/>
  </si>
  <si>
    <t xml:space="preserve">ls -l /etc/xinetd.d/tftp
⇒ファイルが存在すること
</t>
    <rPh sb="31" eb="33">
      <t>ソンザイ</t>
    </rPh>
    <phoneticPr fontId="2"/>
  </si>
  <si>
    <t>debmirror.confファイル変更</t>
    <phoneticPr fontId="2"/>
  </si>
  <si>
    <t xml:space="preserve">差分が下記の通りであること
28c28
&lt; # @dists="sid";
---
&gt; @dists="sid";
30c30
&lt; # @arches="i386";
---
&gt; @arches="i386";
</t>
    <rPh sb="0" eb="2">
      <t>サブン</t>
    </rPh>
    <rPh sb="3" eb="5">
      <t>カキ</t>
    </rPh>
    <rPh sb="6" eb="7">
      <t>トオ</t>
    </rPh>
    <phoneticPr fontId="2"/>
  </si>
  <si>
    <t>mv /etc/debmirror.conf /etc/debmirror.conf_original</t>
    <phoneticPr fontId="2"/>
  </si>
  <si>
    <t xml:space="preserve">ls -l /etc/debmirror.conf_original
⇒ファイルが存在すること
</t>
    <rPh sb="41" eb="43">
      <t>ソンザイ</t>
    </rPh>
    <phoneticPr fontId="2"/>
  </si>
  <si>
    <t xml:space="preserve">ls -l /etc/debmirror.conf
⇒ファイルが存在すること
</t>
    <rPh sb="32" eb="34">
      <t>ソンザイ</t>
    </rPh>
    <phoneticPr fontId="2"/>
  </si>
  <si>
    <t>dhcp設定</t>
    <rPh sb="4" eb="6">
      <t>セッテイ</t>
    </rPh>
    <phoneticPr fontId="2"/>
  </si>
  <si>
    <t>cp -p /etc/cobbler/dhcp.template /etc/cobbler/dhcp.template_original</t>
    <phoneticPr fontId="2"/>
  </si>
  <si>
    <t>vi /etc/cobbler/dhcp.template</t>
    <phoneticPr fontId="2"/>
  </si>
  <si>
    <t xml:space="preserve">[変更例]
diff /etc/cobbler/dhcp.template /etc/cobbler/dhcp.template.bak
----------------------------------------------------------------
21,24c21,25
&lt; subnet 172.26.112.0 netmask 255.255.248.0 {
&lt;      option routers             172.26.112.1;
&lt;      option subnet-mask         255.255.248.0;
&lt;      range dynamic-bootp        172.26.116.51 172.26.116.55;
---
&gt; subnet 192.168.1.0 netmask 255.255.255.0 {
&gt;      option routers             192.168.1.5;
&gt;      option domain-name-servers 192.168.1.1;
&gt;      option subnet-mask         255.255.255.0;
&gt;      range dynamic-bootp        192.168.1.100 192.168.1.254;
----------------------------------------------------------------
</t>
    <phoneticPr fontId="2"/>
  </si>
  <si>
    <t xml:space="preserve">設定値(IPアドレス等)は環境によって異なる。
先の例は下記の前提で記載。
--------------------------------
[IPアドレス]
172.26.116.50
[サブネットマスク]
255.255.248.0
[デフォルトGW]
172.26.112.1
[DHCP払出するIPアドレスレンジ]
172.26.116.51～172.26.116.55
--------------------------------
</t>
    <phoneticPr fontId="2"/>
  </si>
  <si>
    <t xml:space="preserve">ls -l /etc/cobbler/dhcp.template_original
⇒ファイルが存在すること
</t>
    <rPh sb="48" eb="50">
      <t>ソンザイ</t>
    </rPh>
    <phoneticPr fontId="2"/>
  </si>
  <si>
    <t xml:space="preserve">cat /etc/cobbler/dhcp.template
記載内容が確認できること。
</t>
    <rPh sb="32" eb="34">
      <t>キサイ</t>
    </rPh>
    <rPh sb="34" eb="36">
      <t>ナイヨウ</t>
    </rPh>
    <rPh sb="37" eb="39">
      <t>カクニン</t>
    </rPh>
    <phoneticPr fontId="2"/>
  </si>
  <si>
    <t>●</t>
    <phoneticPr fontId="2"/>
  </si>
  <si>
    <t>pxedefault.templateファイル変更</t>
    <phoneticPr fontId="2"/>
  </si>
  <si>
    <t xml:space="preserve">差分が下記の通りであること
7a8,12
&gt; LABEL local
&gt;         MENU LABEL (local)
&gt;         MENU DEFAULT
&gt;         LOCALBOOT -1
&gt;
</t>
    <rPh sb="0" eb="2">
      <t>サブン</t>
    </rPh>
    <rPh sb="3" eb="5">
      <t>カキ</t>
    </rPh>
    <rPh sb="6" eb="7">
      <t>トオ</t>
    </rPh>
    <phoneticPr fontId="2"/>
  </si>
  <si>
    <t>mv /etc/cobbler/pxe/pxedefault.template /etc/cobbler/pxe/pxedefault.template_original</t>
    <phoneticPr fontId="2"/>
  </si>
  <si>
    <t xml:space="preserve">ls -l /etc/cobbler/pxe/pxedefault.template_original
⇒ファイルが存在すること
</t>
    <rPh sb="58" eb="60">
      <t>ソンザイ</t>
    </rPh>
    <phoneticPr fontId="2"/>
  </si>
  <si>
    <t xml:space="preserve">ls -l /etc/cobbler/pxe/pxedefault.template
⇒ファイルが存在すること
</t>
    <rPh sb="49" eb="51">
      <t>ソンザイ</t>
    </rPh>
    <phoneticPr fontId="2"/>
  </si>
  <si>
    <t>cobbler設定</t>
    <rPh sb="7" eb="9">
      <t>セッテイ</t>
    </rPh>
    <phoneticPr fontId="2"/>
  </si>
  <si>
    <t>cp -p /etc/cobbler/settings /etc/cobbler/settings_original</t>
    <phoneticPr fontId="2"/>
  </si>
  <si>
    <t xml:space="preserve">ls -l /etc/cobbler/settings_original
⇒ファイルが存在すること
</t>
    <rPh sb="43" eb="45">
      <t>ソンザイ</t>
    </rPh>
    <phoneticPr fontId="2"/>
  </si>
  <si>
    <t>vi /etc/cobbler/settings</t>
    <phoneticPr fontId="2"/>
  </si>
  <si>
    <t xml:space="preserve">[変更例]
allow_dynamic_settings: 1
manage_dhcp: 1
next_server: 172.26.116.50
server: 172.26.116.50
</t>
    <phoneticPr fontId="2"/>
  </si>
  <si>
    <t xml:space="preserve">設定値(IPアドレス等)は環境によって異なる。
なお、cobblerのパスワードを変更する場合は下記の手順。
openssl passwd -1 -salt "cobbler" "変更したいパスワード"
⇒出力文字列をxxxxxxxxxxxxxxxxとする。
vi /etc/cobbler/settings
default_password_crypted: "xxxxxxxxxxxxxxxx"
</t>
    <phoneticPr fontId="2"/>
  </si>
  <si>
    <t>systemctl enable cobblerd</t>
  </si>
  <si>
    <t xml:space="preserve">systemctl list-unit-files --type service | grep enabled | grep cobblerd
⇒サービスのステータスが「enabled」と表示されること
</t>
    <rPh sb="94" eb="96">
      <t>ヒョウジ</t>
    </rPh>
    <phoneticPr fontId="2"/>
  </si>
  <si>
    <t xml:space="preserve">systemctl status cobblerd
⇒「active (running)」と表示されること
</t>
    <rPh sb="46" eb="48">
      <t>ヒョウジ</t>
    </rPh>
    <phoneticPr fontId="2"/>
  </si>
  <si>
    <t>cobblerd起動</t>
    <rPh sb="8" eb="10">
      <t>キドウ</t>
    </rPh>
    <phoneticPr fontId="2"/>
  </si>
  <si>
    <t>cobblerd常駐起動設定</t>
    <rPh sb="8" eb="10">
      <t>ジョウチュウ</t>
    </rPh>
    <rPh sb="10" eb="12">
      <t>キドウ</t>
    </rPh>
    <rPh sb="12" eb="14">
      <t>セッテイ</t>
    </rPh>
    <phoneticPr fontId="2"/>
  </si>
  <si>
    <t>xinetd常駐起動設定</t>
    <rPh sb="6" eb="8">
      <t>ジョウチュウ</t>
    </rPh>
    <rPh sb="8" eb="10">
      <t>キドウ</t>
    </rPh>
    <rPh sb="10" eb="12">
      <t>セッテイ</t>
    </rPh>
    <phoneticPr fontId="2"/>
  </si>
  <si>
    <t>systemctl enable xinetd</t>
  </si>
  <si>
    <t xml:space="preserve">systemctl list-unit-files --type service | grep enabled | grep xinetd
⇒サービスのステータスが「enabled」と表示されること
</t>
    <rPh sb="92" eb="94">
      <t>ヒョウジ</t>
    </rPh>
    <phoneticPr fontId="2"/>
  </si>
  <si>
    <t>xinetd起動</t>
    <rPh sb="6" eb="8">
      <t>キドウ</t>
    </rPh>
    <phoneticPr fontId="2"/>
  </si>
  <si>
    <t>systemctl start xinetd</t>
  </si>
  <si>
    <t xml:space="preserve">systemctl status xinetd
⇒「active (running)」と表示されること
</t>
    <rPh sb="44" eb="46">
      <t>ヒョウジ</t>
    </rPh>
    <phoneticPr fontId="2"/>
  </si>
  <si>
    <t>rsyncファイル作成</t>
    <rPh sb="9" eb="11">
      <t>サクセイ</t>
    </rPh>
    <phoneticPr fontId="2"/>
  </si>
  <si>
    <t xml:space="preserve">ls -l /etc/xinetd.d/rsync
⇒ファイルが存在すること
</t>
    <rPh sb="32" eb="34">
      <t>ソンザイ</t>
    </rPh>
    <phoneticPr fontId="2"/>
  </si>
  <si>
    <t>systemctl start cobblerd</t>
    <phoneticPr fontId="2"/>
  </si>
  <si>
    <t>cobbler loader配置</t>
    <rPh sb="14" eb="16">
      <t>ハイチ</t>
    </rPh>
    <phoneticPr fontId="2"/>
  </si>
  <si>
    <t>cobbler同期</t>
    <rPh sb="7" eb="9">
      <t>ドウキ</t>
    </rPh>
    <phoneticPr fontId="2"/>
  </si>
  <si>
    <t>cobbler sync</t>
    <phoneticPr fontId="2"/>
  </si>
  <si>
    <t>systemctl restart httpd</t>
    <phoneticPr fontId="2"/>
  </si>
  <si>
    <t xml:space="preserve">「*** TASK COMPLETE ***」が表示されること
</t>
    <phoneticPr fontId="2"/>
  </si>
  <si>
    <t>dhcpd常駐起動設定</t>
    <rPh sb="5" eb="7">
      <t>ジョウチュウ</t>
    </rPh>
    <rPh sb="7" eb="9">
      <t>キドウ</t>
    </rPh>
    <rPh sb="9" eb="11">
      <t>セッテイ</t>
    </rPh>
    <phoneticPr fontId="2"/>
  </si>
  <si>
    <t xml:space="preserve">systemctl list-unit-files --type service | grep enabled | grep dhcpd
⇒サービスのステータスが「enabled」と表示されること
</t>
    <rPh sb="91" eb="93">
      <t>ヒョウジ</t>
    </rPh>
    <phoneticPr fontId="2"/>
  </si>
  <si>
    <t>dhcpd起動</t>
    <rPh sb="5" eb="7">
      <t>キドウ</t>
    </rPh>
    <phoneticPr fontId="2"/>
  </si>
  <si>
    <t xml:space="preserve">systemctl status dhcpd
⇒「active (running)」と表示されること
</t>
    <rPh sb="43" eb="45">
      <t>ヒョウジ</t>
    </rPh>
    <phoneticPr fontId="2"/>
  </si>
  <si>
    <t xml:space="preserve">ls -l /root/.ssh
⇒下記ファイルが作成されていること
id_rsa
id_rsa.pub
</t>
    <phoneticPr fontId="2"/>
  </si>
  <si>
    <t xml:space="preserve">ls -l /etc/my.cnf
⇒ファイルが存在すること
</t>
    <rPh sb="24" eb="26">
      <t>ソンザイ</t>
    </rPh>
    <phoneticPr fontId="2"/>
  </si>
  <si>
    <t xml:space="preserve">ls -l /var/lib/cobbler/loaders
⇒下記ファイルが存在すること
COPYING.elilo
COPYING.syslinux
COPYING.yaboot
elilo-ia64.efi
grub-x86_64.efi
grub-x86.efi
menu.c32
pxelinux.0
README
yaboot
</t>
    <rPh sb="32" eb="34">
      <t>カキ</t>
    </rPh>
    <rPh sb="39" eb="41">
      <t>ソンザイ</t>
    </rPh>
    <phoneticPr fontId="2"/>
  </si>
  <si>
    <t>Apache(httpd)再起動</t>
    <rPh sb="13" eb="16">
      <t>サイキドウ</t>
    </rPh>
    <phoneticPr fontId="2"/>
  </si>
  <si>
    <t>Web起動確認</t>
    <rPh sb="3" eb="5">
      <t>キドウ</t>
    </rPh>
    <rPh sb="5" eb="7">
      <t>カクニン</t>
    </rPh>
    <phoneticPr fontId="2"/>
  </si>
  <si>
    <t xml:space="preserve">CobblerのWeb画面が表示されること
</t>
    <rPh sb="11" eb="13">
      <t>ガメン</t>
    </rPh>
    <rPh sb="14" eb="16">
      <t>ヒョウジ</t>
    </rPh>
    <phoneticPr fontId="2"/>
  </si>
  <si>
    <t>以上</t>
    <rPh sb="0" eb="2">
      <t>イジョウ</t>
    </rPh>
    <phoneticPr fontId="2"/>
  </si>
  <si>
    <t xml:space="preserve">cat /etc/selinux/config | grep "SELINUX=disabled"
</t>
    <phoneticPr fontId="2"/>
  </si>
  <si>
    <t>サーバ再起動
(SeLinux設定反映／Swap設定確認)</t>
    <rPh sb="3" eb="6">
      <t>サイキドウ</t>
    </rPh>
    <rPh sb="15" eb="17">
      <t>セッテイ</t>
    </rPh>
    <rPh sb="17" eb="19">
      <t>ハンエイ</t>
    </rPh>
    <rPh sb="24" eb="26">
      <t>セッテイ</t>
    </rPh>
    <rPh sb="26" eb="28">
      <t>カクニン</t>
    </rPh>
    <phoneticPr fontId="2"/>
  </si>
  <si>
    <t xml:space="preserve">free
⇒Swapが確保されていることを確認
</t>
    <phoneticPr fontId="2"/>
  </si>
  <si>
    <t>別サーバへのssh初回認証時の確認を省略する
(known_hostsを利用しない)</t>
    <phoneticPr fontId="2"/>
  </si>
  <si>
    <t xml:space="preserve">ls -l /root/.ssh/config
⇒ファイルが存在すること
</t>
    <rPh sb="30" eb="32">
      <t>ソンザイ</t>
    </rPh>
    <phoneticPr fontId="2"/>
  </si>
  <si>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>を入力</t>
    </r>
    <phoneticPr fontId="2"/>
  </si>
  <si>
    <t>max_sp_recursion_depth=20</t>
    <phoneticPr fontId="2"/>
  </si>
  <si>
    <t xml:space="preserve">MySQLのファンクションにて再帰呼び出しする際に必要。
</t>
    <rPh sb="15" eb="17">
      <t>サイキ</t>
    </rPh>
    <rPh sb="17" eb="18">
      <t>ヨ</t>
    </rPh>
    <rPh sb="19" eb="20">
      <t>ダ</t>
    </rPh>
    <rPh sb="23" eb="24">
      <t>サイ</t>
    </rPh>
    <rPh sb="25" eb="27">
      <t>ヒツヨウ</t>
    </rPh>
    <phoneticPr fontId="2"/>
  </si>
  <si>
    <t>cat /var/log/mysqld.log | grep "A temporary password is generated for"</t>
    <phoneticPr fontId="2"/>
  </si>
  <si>
    <r>
      <t>set password for root@localhost = '</t>
    </r>
    <r>
      <rPr>
        <sz val="11"/>
        <color rgb="FFFF0000"/>
        <rFont val="ＭＳ Ｐゴシック"/>
        <family val="3"/>
        <charset val="128"/>
        <scheme val="minor"/>
      </rPr>
      <t>[覚えやすい簡単なパスワード]</t>
    </r>
    <r>
      <rPr>
        <sz val="11"/>
        <color theme="1"/>
        <rFont val="ＭＳ Ｐゴシック"/>
        <family val="2"/>
        <charset val="128"/>
        <scheme val="minor"/>
      </rPr>
      <t>';</t>
    </r>
    <rPh sb="36" eb="37">
      <t>オボ</t>
    </rPh>
    <rPh sb="41" eb="43">
      <t>カンタン</t>
    </rPh>
    <phoneticPr fontId="1"/>
  </si>
  <si>
    <r>
      <t xml:space="preserve">本手順をもって、
</t>
    </r>
    <r>
      <rPr>
        <sz val="11"/>
        <color rgb="FFFF0000"/>
        <rFont val="ＭＳ Ｐゴシック"/>
        <family val="3"/>
        <charset val="128"/>
        <scheme val="minor"/>
      </rPr>
      <t xml:space="preserve">[覚えきれないrootログイン用パスワード]
</t>
    </r>
    <r>
      <rPr>
        <sz val="11"/>
        <color theme="1"/>
        <rFont val="ＭＳ Ｐゴシック"/>
        <family val="2"/>
        <charset val="128"/>
        <scheme val="minor"/>
      </rPr>
      <t>は不要となる。</t>
    </r>
    <rPh sb="0" eb="1">
      <t>ホン</t>
    </rPh>
    <rPh sb="1" eb="3">
      <t>テジュン</t>
    </rPh>
    <rPh sb="33" eb="35">
      <t>フヨウ</t>
    </rPh>
    <phoneticPr fontId="2"/>
  </si>
  <si>
    <t>systemctl stop mysqld</t>
    <phoneticPr fontId="2"/>
  </si>
  <si>
    <t>systemctl start httpd</t>
    <phoneticPr fontId="2"/>
  </si>
  <si>
    <t>systemctl enable dhcpd</t>
    <phoneticPr fontId="2"/>
  </si>
  <si>
    <t>systemctl start dhcpd</t>
    <phoneticPr fontId="2"/>
  </si>
  <si>
    <t>mv /etc/my.cnf /etc/my.cnf_original</t>
    <phoneticPr fontId="2"/>
  </si>
  <si>
    <r>
      <t>RHEL7.xディストリビューション</t>
    </r>
    <r>
      <rPr>
        <b/>
        <sz val="11"/>
        <color rgb="FFFF0000"/>
        <rFont val="ＭＳ Ｐゴシック"/>
        <family val="3"/>
        <charset val="128"/>
        <scheme val="minor"/>
      </rPr>
      <t>(CentOS7.3推奨)</t>
    </r>
    <rPh sb="28" eb="30">
      <t>スイショウ</t>
    </rPh>
    <phoneticPr fontId="2"/>
  </si>
  <si>
    <t xml:space="preserve">データ自動削除機能(論削、物削)の保存期間
ファイルが存在しておりフォーマットエラーが無い
⇒処理を実行
ファイルが存在しておりフォーマットエラーが有る
⇒フォーマットエラーの旨をログに出力し処理は実行しない
ファイルが存在しているが0バイト
⇒記載が無い旨をログに出力し終了
ファイルが無い
⇒設定ファイルが無い旨をログに出力し終了
</t>
    <rPh sb="3" eb="5">
      <t>ジドウ</t>
    </rPh>
    <rPh sb="5" eb="7">
      <t>サクジョ</t>
    </rPh>
    <rPh sb="7" eb="9">
      <t>キノウ</t>
    </rPh>
    <rPh sb="10" eb="11">
      <t>ロン</t>
    </rPh>
    <rPh sb="11" eb="12">
      <t>ケズ</t>
    </rPh>
    <rPh sb="13" eb="14">
      <t>モノ</t>
    </rPh>
    <rPh sb="14" eb="15">
      <t>ケズ</t>
    </rPh>
    <rPh sb="17" eb="19">
      <t>ホゾン</t>
    </rPh>
    <rPh sb="19" eb="21">
      <t>キカン</t>
    </rPh>
    <rPh sb="27" eb="29">
      <t>ソンザイ</t>
    </rPh>
    <rPh sb="43" eb="44">
      <t>ナ</t>
    </rPh>
    <rPh sb="47" eb="49">
      <t>ショリ</t>
    </rPh>
    <rPh sb="50" eb="52">
      <t>ジッコウ</t>
    </rPh>
    <rPh sb="74" eb="75">
      <t>ア</t>
    </rPh>
    <rPh sb="88" eb="89">
      <t>ムネ</t>
    </rPh>
    <rPh sb="93" eb="95">
      <t>シュツリョク</t>
    </rPh>
    <rPh sb="96" eb="98">
      <t>ショリ</t>
    </rPh>
    <rPh sb="99" eb="101">
      <t>ジッコウ</t>
    </rPh>
    <rPh sb="123" eb="125">
      <t>キサイ</t>
    </rPh>
    <rPh sb="126" eb="127">
      <t>ナ</t>
    </rPh>
    <rPh sb="128" eb="129">
      <t>ムネ</t>
    </rPh>
    <rPh sb="133" eb="135">
      <t>シュツリョク</t>
    </rPh>
    <rPh sb="136" eb="138">
      <t>シュウリョウ</t>
    </rPh>
    <rPh sb="144" eb="145">
      <t>ナ</t>
    </rPh>
    <rPh sb="148" eb="150">
      <t>セッテイ</t>
    </rPh>
    <rPh sb="155" eb="156">
      <t>ナ</t>
    </rPh>
    <rPh sb="157" eb="158">
      <t>ムネ</t>
    </rPh>
    <rPh sb="162" eb="164">
      <t>シュツリョク</t>
    </rPh>
    <rPh sb="165" eb="167">
      <t>シュウリョウ</t>
    </rPh>
    <phoneticPr fontId="2"/>
  </si>
  <si>
    <t xml:space="preserve">PHPモジュールのパスを記載。
本サンプル⇒「/bin/php」を記載
</t>
    <phoneticPr fontId="2"/>
  </si>
  <si>
    <t>DSC向けデータリレイストレージ準備</t>
    <rPh sb="3" eb="4">
      <t>ム</t>
    </rPh>
    <rPh sb="16" eb="18">
      <t>ジュンビ</t>
    </rPh>
    <phoneticPr fontId="2"/>
  </si>
  <si>
    <t>基本設定</t>
    <rPh sb="0" eb="2">
      <t>キホン</t>
    </rPh>
    <rPh sb="2" eb="4">
      <t>セッテイ</t>
    </rPh>
    <phoneticPr fontId="2"/>
  </si>
  <si>
    <t>MySQLインストール</t>
    <phoneticPr fontId="2"/>
  </si>
  <si>
    <t>PHP関連インストール</t>
    <rPh sb="3" eb="5">
      <t>カンレン</t>
    </rPh>
    <phoneticPr fontId="2"/>
  </si>
  <si>
    <t>Ansible関連インストール</t>
    <rPh sb="7" eb="9">
      <t>カンレン</t>
    </rPh>
    <phoneticPr fontId="2"/>
  </si>
  <si>
    <t>DSC関連特殊設定</t>
    <rPh sb="3" eb="5">
      <t>カンレン</t>
    </rPh>
    <rPh sb="5" eb="7">
      <t>トクシュ</t>
    </rPh>
    <rPh sb="7" eb="9">
      <t>セッテイ</t>
    </rPh>
    <phoneticPr fontId="2"/>
  </si>
  <si>
    <t>正常性確認</t>
    <rPh sb="0" eb="3">
      <t>セイジョウセイ</t>
    </rPh>
    <rPh sb="3" eb="5">
      <t>カクニン</t>
    </rPh>
    <phoneticPr fontId="2"/>
  </si>
  <si>
    <t>session.gc_divisor = 1000</t>
    <phoneticPr fontId="2"/>
  </si>
  <si>
    <t>session.gc_divisor = 1</t>
    <phoneticPr fontId="2"/>
  </si>
  <si>
    <t>session.gc_maxlifetime = 1440</t>
    <phoneticPr fontId="2"/>
  </si>
  <si>
    <t>session.gc_maxlifetime = 43200</t>
    <phoneticPr fontId="2"/>
  </si>
  <si>
    <t xml:space="preserve">PHPセッションファイルのGCを制御する。
左記の設定では、
session.gc_probability = 1
のデフォルト値との組み合わせで、
12時間以上経過のセッションファイルを100％の確率でGCする。
</t>
    <rPh sb="16" eb="18">
      <t>セイギョ</t>
    </rPh>
    <rPh sb="22" eb="24">
      <t>サキ</t>
    </rPh>
    <rPh sb="25" eb="27">
      <t>セッテイ</t>
    </rPh>
    <rPh sb="64" eb="65">
      <t>アタイ</t>
    </rPh>
    <rPh sb="67" eb="68">
      <t>ク</t>
    </rPh>
    <rPh sb="69" eb="70">
      <t>ア</t>
    </rPh>
    <rPh sb="77" eb="79">
      <t>ジカン</t>
    </rPh>
    <rPh sb="79" eb="81">
      <t>イジョウ</t>
    </rPh>
    <rPh sb="81" eb="83">
      <t>ケイカ</t>
    </rPh>
    <rPh sb="99" eb="101">
      <t>カクリツ</t>
    </rPh>
    <phoneticPr fontId="2"/>
  </si>
  <si>
    <t>transaction-isolation=READ-COMMITTED</t>
    <phoneticPr fontId="2"/>
  </si>
  <si>
    <t xml:space="preserve">Twigのパスを記載。
本サンプル⇒「/usr/share/php/Twig-1.34.4」を記載
</t>
    <phoneticPr fontId="2"/>
  </si>
  <si>
    <t>-</t>
    <phoneticPr fontId="2"/>
  </si>
  <si>
    <t xml:space="preserve">データポータビリティの、インポート処理の実行時間制限値。
設定値を過ぎても実行中の処理は失敗と判定する。
単位は秒。デフォルトは300を指定。
</t>
    <rPh sb="17" eb="19">
      <t>ショリ</t>
    </rPh>
    <rPh sb="20" eb="22">
      <t>ジッコウ</t>
    </rPh>
    <rPh sb="22" eb="24">
      <t>ジカン</t>
    </rPh>
    <rPh sb="24" eb="27">
      <t>セイゲンチ</t>
    </rPh>
    <rPh sb="29" eb="32">
      <t>セッテイチ</t>
    </rPh>
    <rPh sb="33" eb="34">
      <t>ス</t>
    </rPh>
    <rPh sb="37" eb="40">
      <t>ジッコウチュウ</t>
    </rPh>
    <rPh sb="41" eb="43">
      <t>ショリ</t>
    </rPh>
    <rPh sb="44" eb="46">
      <t>シッパイ</t>
    </rPh>
    <rPh sb="47" eb="49">
      <t>ハンテイ</t>
    </rPh>
    <rPh sb="53" eb="55">
      <t>タンイ</t>
    </rPh>
    <rPh sb="56" eb="57">
      <t>ビョウ</t>
    </rPh>
    <rPh sb="68" eb="70">
      <t>シテイ</t>
    </rPh>
    <phoneticPr fontId="2"/>
  </si>
  <si>
    <t>資材名</t>
    <rPh sb="0" eb="2">
      <t>シザイ</t>
    </rPh>
    <rPh sb="2" eb="3">
      <t>メイ</t>
    </rPh>
    <phoneticPr fontId="2"/>
  </si>
  <si>
    <t>cd /tmp</t>
    <phoneticPr fontId="2"/>
  </si>
  <si>
    <t xml:space="preserve">Spycのパスを記載。
本サンプル⇒「/usr/share/php/spyc-master」を記載
</t>
    <phoneticPr fontId="2"/>
  </si>
  <si>
    <t>which git</t>
    <phoneticPr fontId="2"/>
  </si>
  <si>
    <t>gitのインストール</t>
    <phoneticPr fontId="2"/>
  </si>
  <si>
    <t>gitインストール</t>
    <phoneticPr fontId="2"/>
  </si>
  <si>
    <t>gitのインストール状況確認</t>
    <rPh sb="10" eb="12">
      <t>ジョウキョウ</t>
    </rPh>
    <rPh sb="12" eb="14">
      <t>カクニン</t>
    </rPh>
    <phoneticPr fontId="2"/>
  </si>
  <si>
    <t>ホストグループ</t>
    <phoneticPr fontId="2"/>
  </si>
  <si>
    <t>構築資材管理</t>
    <rPh sb="0" eb="2">
      <t>コウチク</t>
    </rPh>
    <rPh sb="2" eb="4">
      <t>シザイ</t>
    </rPh>
    <rPh sb="4" eb="6">
      <t>カンリ</t>
    </rPh>
    <phoneticPr fontId="2"/>
  </si>
  <si>
    <t>パラメータシート作成</t>
    <rPh sb="8" eb="10">
      <t>サクセイ</t>
    </rPh>
    <phoneticPr fontId="2"/>
  </si>
  <si>
    <r>
      <rPr>
        <u/>
        <sz val="11"/>
        <color rgb="FFFF0000"/>
        <rFont val="ＭＳ Ｐゴシック"/>
        <family val="3"/>
        <charset val="128"/>
        <scheme val="minor"/>
      </rPr>
      <t>gitが未設定の場合</t>
    </r>
    <r>
      <rPr>
        <sz val="11"/>
        <color theme="1"/>
        <rFont val="ＭＳ Ｐゴシック"/>
        <family val="3"/>
        <charset val="128"/>
        <scheme val="minor"/>
      </rPr>
      <t xml:space="preserve">に下記を実施。
</t>
    </r>
    <rPh sb="4" eb="7">
      <t>ミセッテイ</t>
    </rPh>
    <phoneticPr fontId="2"/>
  </si>
  <si>
    <t>●</t>
    <phoneticPr fontId="2"/>
  </si>
  <si>
    <t>データポータビリティの不要データ保存期間。
不要なディレクトリ・ファイルを保存しておく日数を記載する。ここで指定した日数を過ぎると削除される。
デフォルトでは1を指定。</t>
    <rPh sb="11" eb="13">
      <t>フヨウ</t>
    </rPh>
    <rPh sb="16" eb="18">
      <t>ホゾン</t>
    </rPh>
    <rPh sb="18" eb="20">
      <t>キカン</t>
    </rPh>
    <rPh sb="23" eb="25">
      <t>フヨウ</t>
    </rPh>
    <rPh sb="38" eb="40">
      <t>ホゾン</t>
    </rPh>
    <rPh sb="44" eb="46">
      <t>ニッスウ</t>
    </rPh>
    <rPh sb="47" eb="49">
      <t>キサイ</t>
    </rPh>
    <rPh sb="55" eb="57">
      <t>シテイ</t>
    </rPh>
    <rPh sb="59" eb="61">
      <t>ニッスウ</t>
    </rPh>
    <rPh sb="62" eb="63">
      <t>ス</t>
    </rPh>
    <rPh sb="66" eb="68">
      <t>サクジョ</t>
    </rPh>
    <rPh sb="82" eb="84">
      <t>シテイ</t>
    </rPh>
    <phoneticPr fontId="2"/>
  </si>
  <si>
    <t>AnsibleTower</t>
    <phoneticPr fontId="2"/>
  </si>
  <si>
    <t>※右記のパッケージを環境に応じてインストールしてください。
(yum等)</t>
    <rPh sb="1" eb="3">
      <t>ウキ</t>
    </rPh>
    <rPh sb="10" eb="12">
      <t>カンキョウ</t>
    </rPh>
    <rPh sb="13" eb="14">
      <t>オウ</t>
    </rPh>
    <rPh sb="34" eb="35">
      <t>ナド</t>
    </rPh>
    <phoneticPr fontId="2"/>
  </si>
  <si>
    <t>以下のパッケージをインストールしてください。
mysql-server
mysql-devel
mysql</t>
    <rPh sb="0" eb="2">
      <t>イカ</t>
    </rPh>
    <phoneticPr fontId="2"/>
  </si>
  <si>
    <t>-</t>
    <phoneticPr fontId="2"/>
  </si>
  <si>
    <t>パッケージ名
httpd
mod_ssl</t>
    <phoneticPr fontId="2"/>
  </si>
  <si>
    <t>パッケージ名
php
php-bcmath
php-cli
php-ldap
php-mbstring
php-mcrypt
php-mysql
php-mysqlnd
php-pear
php-pecl-crypto
php-pecl-zip
php-process
php-snmp
php-xml</t>
    <phoneticPr fontId="2"/>
  </si>
  <si>
    <t>PHPのバージョンは5.6であること。</t>
    <phoneticPr fontId="2"/>
  </si>
  <si>
    <t>-</t>
    <phoneticPr fontId="2"/>
  </si>
  <si>
    <t>パッケージ名
pexpect</t>
    <phoneticPr fontId="2"/>
  </si>
  <si>
    <t>パッケージ名
python-pip</t>
    <phoneticPr fontId="2"/>
  </si>
  <si>
    <t>パッケージ名
ansible</t>
    <phoneticPr fontId="2"/>
  </si>
  <si>
    <t>パッケージ名
cobbler
cobbler-web
dhcp
pykickstart
fence-agents
debmirror
xinetd</t>
    <phoneticPr fontId="2"/>
  </si>
  <si>
    <t>パッケージ名
git</t>
    <phoneticPr fontId="2"/>
  </si>
  <si>
    <t>※右記のパッケージを環境に応じてインストールしてください。
(pear等)</t>
    <rPh sb="1" eb="3">
      <t>ウキ</t>
    </rPh>
    <rPh sb="10" eb="12">
      <t>カンキョウ</t>
    </rPh>
    <rPh sb="13" eb="14">
      <t>オウ</t>
    </rPh>
    <rPh sb="35" eb="36">
      <t>ナド</t>
    </rPh>
    <phoneticPr fontId="2"/>
  </si>
  <si>
    <t>パッケージ名
MDB2
HTTP_Request2
Auth
HTML_AJAX-beta</t>
    <phoneticPr fontId="2"/>
  </si>
  <si>
    <t xml:space="preserve">インターネット環境の場合は、pearコマンドでも配置可能。
/bin/pear install MDB2
/bin/pear install HTTP_Request2
/bin/pear install Auth
/bin/pear install HTML_AJAX-beta
[重要補足]
大量データを通信するような利用シーンの場合、
HTML_AJAXのタイマー値を伸ばすことで課題が解決するケースがある。
その場合下記の通り対応する。
[対象ファイル]
/usr/share/pear-data/HTML_AJAX/js/HTML_AJAX.js
/usr/share/pear-data/HTML_AJAX/js/HTML_AJAX_lite.js
[変更前]
timeout: (デフォルト値)
[変更後]
timeout: 180000
[備考]
2つの対象ファイルそれぞれに2箇所修正。
合計4箇所修正することになる。
</t>
    <phoneticPr fontId="2"/>
  </si>
  <si>
    <t>Windows7の場合hostsファイルは以下のパスにある
C:\Windows\System32\drivers\etc\hosts</t>
    <rPh sb="21" eb="23">
      <t>イカ</t>
    </rPh>
    <phoneticPr fontId="2"/>
  </si>
  <si>
    <t>操作端末（Windows）のhostsファイル編集</t>
    <rPh sb="23" eb="25">
      <t>ヘンシュウ</t>
    </rPh>
    <phoneticPr fontId="2"/>
  </si>
  <si>
    <t>-</t>
    <phoneticPr fontId="2"/>
  </si>
  <si>
    <t>telnetインストール</t>
    <phoneticPr fontId="2"/>
  </si>
  <si>
    <t xml:space="preserve">パッケージ名
expect
</t>
    <phoneticPr fontId="2"/>
  </si>
  <si>
    <t xml:space="preserve">パッケージ名
telnet
</t>
    <phoneticPr fontId="2"/>
  </si>
  <si>
    <t>free</t>
    <phoneticPr fontId="2"/>
  </si>
  <si>
    <t>サーバ再起動
(Swap設定確認)</t>
    <rPh sb="3" eb="6">
      <t>サイキドウ</t>
    </rPh>
    <rPh sb="12" eb="14">
      <t>セッテイ</t>
    </rPh>
    <rPh sb="14" eb="16">
      <t>カクニン</t>
    </rPh>
    <phoneticPr fontId="2"/>
  </si>
  <si>
    <t>-</t>
    <phoneticPr fontId="2"/>
  </si>
  <si>
    <t>パッケージ名
zip
unzip</t>
    <phoneticPr fontId="2"/>
  </si>
  <si>
    <t>resource</t>
    <phoneticPr fontId="16"/>
  </si>
  <si>
    <t>セル(F3)に半角で、64、と記載すると、単純にBase64エンコードした値を取得できます。</t>
    <rPh sb="7" eb="9">
      <t>ハンカク</t>
    </rPh>
    <rPh sb="15" eb="17">
      <t>キサイ</t>
    </rPh>
    <rPh sb="21" eb="23">
      <t>タンジュン</t>
    </rPh>
    <rPh sb="37" eb="38">
      <t>アタイ</t>
    </rPh>
    <rPh sb="39" eb="41">
      <t>シュトク</t>
    </rPh>
    <phoneticPr fontId="16"/>
  </si>
  <si>
    <t>result</t>
    <phoneticPr fontId="16"/>
  </si>
  <si>
    <r>
      <t xml:space="preserve">AnsibleサーバのRestAPIに使用するアクセスキー。
本サンプル⇒「AccessKeyId」を暗号した文字列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19" eb="21">
      <t>シヨウ</t>
    </rPh>
    <phoneticPr fontId="2"/>
  </si>
  <si>
    <r>
      <t xml:space="preserve">AnsibleサーバのRestAPIに使用する秘密キー。
本サンプル⇒「SecretAccessKey」を暗号した文字列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23" eb="25">
      <t>ヒミツ</t>
    </rPh>
    <phoneticPr fontId="2"/>
  </si>
  <si>
    <t>[777権限ディレクトリ]、[755権限ファイル]は以下のファイルにてご確認ください。</t>
    <rPh sb="18" eb="20">
      <t>ケンゲン</t>
    </rPh>
    <phoneticPr fontId="2"/>
  </si>
  <si>
    <t>■</t>
    <phoneticPr fontId="2"/>
  </si>
  <si>
    <t>777権限ディレクトリ</t>
    <rPh sb="3" eb="5">
      <t>ケンゲン</t>
    </rPh>
    <phoneticPr fontId="2"/>
  </si>
  <si>
    <t>755権限ファイル</t>
    <rPh sb="3" eb="5">
      <t>ケンゲン</t>
    </rPh>
    <phoneticPr fontId="2"/>
  </si>
  <si>
    <t>ライブラリ入りのインストール資材が存在すること</t>
    <rPh sb="5" eb="6">
      <t>イ</t>
    </rPh>
    <rPh sb="17" eb="19">
      <t>ソンザイ</t>
    </rPh>
    <phoneticPr fontId="2"/>
  </si>
  <si>
    <t>/astroll/ita-root/confs/backyardconfs/ansible_driver/hide_menu_column_list.txt</t>
  </si>
  <si>
    <t>/astroll/ita-root/confs/backyardconfs/ansible_driver/keep_day_length.txt</t>
  </si>
  <si>
    <t>/astroll/ita-root/confs/backyardconfs/cobbler_driver/keep_day_length.txt</t>
  </si>
  <si>
    <t>/astroll/ita-root/confs/backyardconfs/dsc_driver/keep_day_length.txt</t>
  </si>
  <si>
    <t>/astroll/ita-root/confs/backyardconfs/cobbler_driver/path_DATA_RELAY_STRAGE_side_Cobbler</t>
  </si>
  <si>
    <t>/astroll/ita-root/confs/backyardconfs/ita_base/dataautoclean_conf.txt</t>
  </si>
  <si>
    <t>/astroll/ita-root/confs/backyardconfs/ita_base/data_portability_keep_day_length.txt</t>
  </si>
  <si>
    <t>/astroll/ita-root/confs/backyardconfs/ita_base/data_portability_running_limit.txt</t>
  </si>
  <si>
    <t>/astroll/ita-root/confs/backyardconfs/ita_base/keep_day_length.txt</t>
  </si>
  <si>
    <t>/astroll/ita-root/confs/backyardconfs/ansibletower_driver/hide_menu_column_list.txt</t>
  </si>
  <si>
    <t>/astroll/ita-root/confs/backyardconfs/path_PHP_MODULE.txt</t>
  </si>
  <si>
    <t>/astroll/ita-root/confs/backyardconfs/mailx_option.txt</t>
  </si>
  <si>
    <t>/astroll/ita-root/confs/backyardconfs/sysmail.list</t>
  </si>
  <si>
    <t>/astroll/ita-root/confs/commonconfs/app_mail_from.txt</t>
  </si>
  <si>
    <t>/astroll/ita-root/confs/commonconfs/app_msg_language.txt</t>
  </si>
  <si>
    <t>/astroll/ita-root/confs/commonconfs/db_connection_string.txt</t>
  </si>
  <si>
    <t>/astroll/ita-root/confs/commonconfs/db_model_string.txt</t>
  </si>
  <si>
    <t>/astroll/ita-root/confs/commonconfs/db_password.txt</t>
  </si>
  <si>
    <t>/astroll/ita-root/confs/commonconfs/db_username.txt</t>
  </si>
  <si>
    <t>/astroll/ita-root/confs/commonconfs/path_PHPSpyc_Classes.txt</t>
  </si>
  <si>
    <t>/astroll/ita-root/confs/commonconfs/path_PHPTwig.txt</t>
  </si>
  <si>
    <t>/astroll/ita-root/confs/restapiconfs/ansible_driver/accesskey.txt</t>
  </si>
  <si>
    <t>/astroll/ita-root/confs/restapiconfs/ansible_driver/secret_accesskey.txt</t>
  </si>
  <si>
    <t>/astroll/ita-root/confs/webconfs/admin_mail_addr.txt</t>
  </si>
  <si>
    <t>/astroll/ita-root/confs/webconfs/L7Protocol.txt</t>
  </si>
  <si>
    <t>/astroll/ita-root/confs/webconfs/path_HTML_AJAX.txt</t>
  </si>
  <si>
    <t>/astroll/ita-root/confs/webconfs/path_PHPExcel_Classes.txt</t>
  </si>
  <si>
    <t>DSC本体をインストールしているサーバーとの共有データ領域を、以下のディレクトリに設定してください。
/astroll/data_relay_storage/dsc_driver
設定方法(nfs、cifs、ceph、外部ストレージ機器、・・・)は問いません。</t>
    <rPh sb="3" eb="5">
      <t>ホンタイ</t>
    </rPh>
    <rPh sb="31" eb="33">
      <t>イカ</t>
    </rPh>
    <rPh sb="41" eb="43">
      <t>セッテイ</t>
    </rPh>
    <rPh sb="91" eb="93">
      <t>セッテイ</t>
    </rPh>
    <rPh sb="93" eb="95">
      <t>ホウホウ</t>
    </rPh>
    <phoneticPr fontId="2"/>
  </si>
  <si>
    <t>https://astroll-it-automation/</t>
    <phoneticPr fontId="2"/>
  </si>
  <si>
    <t>https://astroll-it-automation/cobbler_web/</t>
    <phoneticPr fontId="2"/>
  </si>
  <si>
    <t>astroll</t>
    <phoneticPr fontId="2"/>
  </si>
  <si>
    <r>
      <t>ライブラリ収集</t>
    </r>
    <r>
      <rPr>
        <b/>
        <sz val="16"/>
        <color rgb="FFFF0000"/>
        <rFont val="ＭＳ Ｐゴシック"/>
        <family val="3"/>
        <charset val="128"/>
        <scheme val="minor"/>
      </rPr>
      <t>(astrollサーバーがオフラインの場合のみ実地)</t>
    </r>
    <rPh sb="5" eb="7">
      <t>シュウシュウ</t>
    </rPh>
    <rPh sb="26" eb="28">
      <t>バアイ</t>
    </rPh>
    <rPh sb="30" eb="32">
      <t>ジッチ</t>
    </rPh>
    <phoneticPr fontId="2"/>
  </si>
  <si>
    <t>astroll環境構築スクリプト実行</t>
    <rPh sb="16" eb="18">
      <t>ジッコウ</t>
    </rPh>
    <phoneticPr fontId="2"/>
  </si>
  <si>
    <t>astrollに必要な設定、パッケージのライブラリをダウンロード</t>
    <rPh sb="8" eb="10">
      <t>ヒツヨウ</t>
    </rPh>
    <rPh sb="11" eb="13">
      <t>セッテイ</t>
    </rPh>
    <phoneticPr fontId="2"/>
  </si>
  <si>
    <t>astroll環境構築</t>
    <rPh sb="7" eb="9">
      <t>カンキョウ</t>
    </rPh>
    <rPh sb="9" eb="11">
      <t>コウチク</t>
    </rPh>
    <phoneticPr fontId="2"/>
  </si>
  <si>
    <t>hostsファイルへ以下を追記する
“astroll実装サーバーのIPアドレス” astroll-it-automation</t>
    <rPh sb="10" eb="12">
      <t>イカ</t>
    </rPh>
    <rPh sb="13" eb="15">
      <t>ツイキ</t>
    </rPh>
    <phoneticPr fontId="2"/>
  </si>
  <si>
    <t xml:space="preserve">astrollのWeb画面が表示されること
</t>
    <rPh sb="11" eb="13">
      <t>ガメン</t>
    </rPh>
    <rPh sb="14" eb="16">
      <t>ヒョウジ</t>
    </rPh>
    <phoneticPr fontId="2"/>
  </si>
  <si>
    <t>astrollに必要な設定、パッケージのインストール及びastroll自体をインストールする。</t>
    <rPh sb="8" eb="10">
      <t>ヒツヨウ</t>
    </rPh>
    <rPh sb="11" eb="13">
      <t>セッテイ</t>
    </rPh>
    <rPh sb="26" eb="27">
      <t>オヨ</t>
    </rPh>
    <rPh sb="35" eb="37">
      <t>ジタイ</t>
    </rPh>
    <phoneticPr fontId="2"/>
  </si>
  <si>
    <t>astrollインストール</t>
    <phoneticPr fontId="2"/>
  </si>
  <si>
    <t xml:space="preserve">astrollインストーラ
実行
</t>
    <rPh sb="14" eb="16">
      <t>ジッコウ</t>
    </rPh>
    <phoneticPr fontId="2"/>
  </si>
  <si>
    <t xml:space="preserve">以下、2つの目的のために設定が必要。
・Ansibleサーバ→ターゲットサーバにroot以外のユーザでログイン
・astrollからのether-wake
</t>
    <rPh sb="0" eb="2">
      <t>イカ</t>
    </rPh>
    <rPh sb="6" eb="8">
      <t>モクテキ</t>
    </rPh>
    <rPh sb="12" eb="14">
      <t>セッテイ</t>
    </rPh>
    <rPh sb="15" eb="17">
      <t>ヒツヨウ</t>
    </rPh>
    <phoneticPr fontId="2"/>
  </si>
  <si>
    <r>
      <t xml:space="preserve">MySQL(既存バージョン)がインストールされている場合は、
一度アンインストールする。
</t>
    </r>
    <r>
      <rPr>
        <b/>
        <sz val="11"/>
        <color rgb="FFFF0000"/>
        <rFont val="ＭＳ Ｐゴシック"/>
        <family val="2"/>
        <charset val="128"/>
        <scheme val="minor"/>
      </rPr>
      <t>astroll</t>
    </r>
    <r>
      <rPr>
        <b/>
        <sz val="11"/>
        <color rgb="FFFF0000"/>
        <rFont val="ＭＳ Ｐゴシック"/>
        <family val="3"/>
        <charset val="128"/>
        <scheme val="minor"/>
      </rPr>
      <t>のMySQL要件は5.6以上であること。</t>
    </r>
    <phoneticPr fontId="2"/>
  </si>
  <si>
    <t xml:space="preserve">下記コマンドでMySQLサーバのバージョンが確認できる。
SELECT version();
⇒MySQLサーバのバージョンが確認できること。
また5.6以上であること。(astroll動作条件)
</t>
    <rPh sb="0" eb="2">
      <t>カキ</t>
    </rPh>
    <rPh sb="22" eb="24">
      <t>カクニン</t>
    </rPh>
    <phoneticPr fontId="2"/>
  </si>
  <si>
    <t>変更後の値はサンプル値。
astrollの使い方に応じてチューニングを検討。</t>
  </si>
  <si>
    <t xml:space="preserve">トランザクションの分離レベルを指定。
「READ-COMMITTED」は多くのデータベースシステム（Oracle、PostgreSQL、SQL Server）でデフォルトの分離レベル。
MySQLのデフォルトは「REPEATABLE-READ」であるがastrollの利用方針と合わないため変更する必要がある。
</t>
    <rPh sb="9" eb="11">
      <t>ブンリ</t>
    </rPh>
    <rPh sb="15" eb="17">
      <t>シテイ</t>
    </rPh>
    <rPh sb="134" eb="136">
      <t>リヨウ</t>
    </rPh>
    <rPh sb="136" eb="138">
      <t>ホウシン</t>
    </rPh>
    <rPh sb="139" eb="140">
      <t>ア</t>
    </rPh>
    <rPh sb="145" eb="147">
      <t>ヘンコウ</t>
    </rPh>
    <rPh sb="149" eb="151">
      <t>ヒツヨウ</t>
    </rPh>
    <phoneticPr fontId="2"/>
  </si>
  <si>
    <t>変更後の値はサンプル値。
astrollの使い方に応じてチューニングを検討。</t>
    <rPh sb="0" eb="2">
      <t>ヘンコウ</t>
    </rPh>
    <rPh sb="2" eb="3">
      <t>ゴ</t>
    </rPh>
    <rPh sb="4" eb="5">
      <t>アタイ</t>
    </rPh>
    <rPh sb="10" eb="11">
      <t>アタイ</t>
    </rPh>
    <phoneticPr fontId="2"/>
  </si>
  <si>
    <t xml:space="preserve">変更後の値はサンプル値。
astroll利用時にタイムアウト等発生の際はチューニングを検討。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30" eb="31">
      <t>ナド</t>
    </rPh>
    <rPh sb="31" eb="33">
      <t>ハッセイ</t>
    </rPh>
    <rPh sb="34" eb="35">
      <t>サイ</t>
    </rPh>
    <rPh sb="43" eb="45">
      <t>ケントウ</t>
    </rPh>
    <phoneticPr fontId="2"/>
  </si>
  <si>
    <t xml:space="preserve">変更後の値はサンプル値。
astroll利用時にPHPのメモリ不足が発生する場合はチューニングを検討。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31" eb="33">
      <t>ブソク</t>
    </rPh>
    <rPh sb="34" eb="36">
      <t>ハッセイ</t>
    </rPh>
    <rPh sb="38" eb="40">
      <t>バアイ</t>
    </rPh>
    <rPh sb="48" eb="50">
      <t>ケントウ</t>
    </rPh>
    <phoneticPr fontId="2"/>
  </si>
  <si>
    <t xml:space="preserve">変更後の値はサンプル値。
astroll利用時に大容量の登録/更新ができない場合はチューニングを検討。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24" eb="27">
      <t>ダイヨウリョウ</t>
    </rPh>
    <rPh sb="28" eb="30">
      <t>トウロク</t>
    </rPh>
    <rPh sb="31" eb="33">
      <t>コウシン</t>
    </rPh>
    <rPh sb="38" eb="40">
      <t>バアイ</t>
    </rPh>
    <rPh sb="48" eb="50">
      <t>ケントウ</t>
    </rPh>
    <phoneticPr fontId="2"/>
  </si>
  <si>
    <t xml:space="preserve">変更後の値はサンプル値。
astrollにてファイルアップロードしたいサイズによりチューニングを検討。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48" eb="50">
      <t>ケントウ</t>
    </rPh>
    <phoneticPr fontId="2"/>
  </si>
  <si>
    <t xml:space="preserve">astrollはPHPからPDOを利用してMySQLに接続している。
</t>
    <rPh sb="17" eb="19">
      <t>リヨウ</t>
    </rPh>
    <rPh sb="27" eb="29">
      <t>セツゾク</t>
    </rPh>
    <phoneticPr fontId="2"/>
  </si>
  <si>
    <t>astroll設定ファイル説明</t>
    <phoneticPr fontId="2"/>
  </si>
  <si>
    <t xml:space="preserve">システムメール(ky_mail)を利用する場合のmailxコマンドに引き渡すオプションを記載する。
※astrollのメール送信機能(ky_mail)を利用しない場合は不要。
例えば、送信先MTAを固定したい場合は「-s smtp=xxx.xxx.xxx.xxx:25」などと記載する。
</t>
    <rPh sb="34" eb="35">
      <t>ヒ</t>
    </rPh>
    <rPh sb="36" eb="37">
      <t>ワタ</t>
    </rPh>
    <rPh sb="44" eb="46">
      <t>キサイ</t>
    </rPh>
    <rPh sb="62" eb="64">
      <t>ソウシン</t>
    </rPh>
    <rPh sb="64" eb="66">
      <t>キノウ</t>
    </rPh>
    <rPh sb="76" eb="78">
      <t>リヨウ</t>
    </rPh>
    <rPh sb="81" eb="83">
      <t>バアイ</t>
    </rPh>
    <rPh sb="84" eb="86">
      <t>フヨウ</t>
    </rPh>
    <rPh sb="88" eb="89">
      <t>タト</t>
    </rPh>
    <rPh sb="92" eb="94">
      <t>ソウシン</t>
    </rPh>
    <rPh sb="94" eb="95">
      <t>サキ</t>
    </rPh>
    <rPh sb="99" eb="101">
      <t>コテイ</t>
    </rPh>
    <rPh sb="104" eb="106">
      <t>バアイ</t>
    </rPh>
    <rPh sb="138" eb="140">
      <t>キサイ</t>
    </rPh>
    <phoneticPr fontId="2"/>
  </si>
  <si>
    <t xml:space="preserve">システムメール(ky_mail)を利用する場合の設定を記載する。
※astrollのメール送信機能(ky_mail)を利用しない場合は不要。
</t>
    <rPh sb="24" eb="26">
      <t>セッテイ</t>
    </rPh>
    <rPh sb="27" eb="29">
      <t>キサイ</t>
    </rPh>
    <rPh sb="45" eb="47">
      <t>ソウシン</t>
    </rPh>
    <rPh sb="47" eb="49">
      <t>キノウ</t>
    </rPh>
    <rPh sb="59" eb="61">
      <t>リヨウ</t>
    </rPh>
    <rPh sb="64" eb="66">
      <t>バアイ</t>
    </rPh>
    <rPh sb="67" eb="69">
      <t>フヨウ</t>
    </rPh>
    <phoneticPr fontId="2"/>
  </si>
  <si>
    <t xml:space="preserve">WebDBCoreからシステムメール(ky_mail)を利用する場合に、送信元アドレスになる。
※00_loadtable.phpにアクション契機でメール送信する場合。
※astrollのメール送信機能(ky_mail)を利用しない場合は不要。
</t>
    <rPh sb="71" eb="73">
      <t>ケイキ</t>
    </rPh>
    <rPh sb="77" eb="79">
      <t>ソウシン</t>
    </rPh>
    <rPh sb="81" eb="83">
      <t>バアイ</t>
    </rPh>
    <phoneticPr fontId="2"/>
  </si>
  <si>
    <t xml:space="preserve">astrollの使用言語を定義する。
日本語の場合は「ja_JP」を記載。
</t>
    <rPh sb="13" eb="15">
      <t>テイギ</t>
    </rPh>
    <phoneticPr fontId="2"/>
  </si>
  <si>
    <r>
      <t xml:space="preserve">MySQLへの接続文字列。
本サンプル⇒「mysql:dbname=astroll_DB;host=localhost」を暗号した文字列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※任意文字列の暗号は本ファイルの「暗号化ツール」シートで実施して下さい。
</t>
    </r>
    <rPh sb="65" eb="68">
      <t>モジレツ</t>
    </rPh>
    <phoneticPr fontId="2"/>
  </si>
  <si>
    <r>
      <t xml:space="preserve">MySQLの接続パスワード。
本サンプル⇒「astroll_PASSWD」を暗号した文字列。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5" eb="16">
      <t>ホン</t>
    </rPh>
    <rPh sb="38" eb="40">
      <t>アンゴウ</t>
    </rPh>
    <rPh sb="42" eb="45">
      <t>モジレツ</t>
    </rPh>
    <phoneticPr fontId="2"/>
  </si>
  <si>
    <r>
      <t xml:space="preserve">MySQLの接続ユーザ。
本サンプル⇒「astroll_USER」を暗号した文字列。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3" eb="14">
      <t>ホン</t>
    </rPh>
    <rPh sb="34" eb="36">
      <t>アンゴウ</t>
    </rPh>
    <rPh sb="38" eb="41">
      <t>モジレツ</t>
    </rPh>
    <phoneticPr fontId="2"/>
  </si>
  <si>
    <t xml:space="preserve">astroll前段でHTTPS終端する場合など、クライアント→サーバのプロトコルが分からない場合に利用する。
ファイルが存在しておりプロトコル(HTTP/HTTPS)の記載がある場合
⇒ファイルに記載されているプロトコル(HTTP or HTTPS)が採用される
ファイルが無いまたはファイルが0バイトの場合
⇒環境変数($_SERVER)からHTTP/HTTPSを判定する
</t>
    <rPh sb="41" eb="42">
      <t>ワ</t>
    </rPh>
    <rPh sb="46" eb="48">
      <t>バアイ</t>
    </rPh>
    <rPh sb="49" eb="51">
      <t>リヨウ</t>
    </rPh>
    <rPh sb="61" eb="63">
      <t>ソンザイ</t>
    </rPh>
    <rPh sb="85" eb="87">
      <t>キサイ</t>
    </rPh>
    <rPh sb="90" eb="92">
      <t>バアイ</t>
    </rPh>
    <rPh sb="139" eb="140">
      <t>ナ</t>
    </rPh>
    <rPh sb="154" eb="156">
      <t>バアイ</t>
    </rPh>
    <phoneticPr fontId="2"/>
  </si>
  <si>
    <t>astroll_Ver1.0_yyyymmddhhmmss.tar.gz</t>
    <phoneticPr fontId="2"/>
  </si>
  <si>
    <t>session.save_path = "/var/lib/php/session"</t>
    <phoneticPr fontId="2"/>
  </si>
  <si>
    <t>PHPExcelディレクトリ作成</t>
    <rPh sb="14" eb="16">
      <t>サクセイ</t>
    </rPh>
    <phoneticPr fontId="2"/>
  </si>
  <si>
    <t>●</t>
    <phoneticPr fontId="2"/>
  </si>
  <si>
    <t>mkdir -p /usr/share/php/PHPExcel</t>
    <phoneticPr fontId="2"/>
  </si>
  <si>
    <t>-</t>
    <phoneticPr fontId="2"/>
  </si>
  <si>
    <t xml:space="preserve">ls -l /usr/share/php
⇒下記ファイル／ディレクトリが含まれていること
PHPExcel
</t>
    <phoneticPr fontId="2"/>
  </si>
  <si>
    <t>PHPExcelダウンロード</t>
    <phoneticPr fontId="2"/>
  </si>
  <si>
    <t>●</t>
    <phoneticPr fontId="2"/>
  </si>
  <si>
    <t>※右記のURLからPHPExcelをダウンロードしてください。</t>
    <rPh sb="1" eb="3">
      <t>ウキ</t>
    </rPh>
    <phoneticPr fontId="2"/>
  </si>
  <si>
    <t>https://github.com/PHPOffice/PHPExcel/archive/e465130.tar.gz</t>
    <phoneticPr fontId="2"/>
  </si>
  <si>
    <t>-</t>
    <phoneticPr fontId="2"/>
  </si>
  <si>
    <t>PHPExcel配置</t>
    <rPh sb="8" eb="10">
      <t>ハイチ</t>
    </rPh>
    <phoneticPr fontId="2"/>
  </si>
  <si>
    <t>上記でダウンロードしたPHPExcelを下記のディレクトリに配置してください。
/usr/share/php/PHPExcel</t>
    <rPh sb="0" eb="2">
      <t>ジョウキ</t>
    </rPh>
    <rPh sb="20" eb="22">
      <t>カキ</t>
    </rPh>
    <rPh sb="30" eb="32">
      <t>ハイチ</t>
    </rPh>
    <phoneticPr fontId="2"/>
  </si>
  <si>
    <t>Spycディレクトリ作成</t>
    <rPh sb="10" eb="12">
      <t>サクセイ</t>
    </rPh>
    <phoneticPr fontId="2"/>
  </si>
  <si>
    <t>mkdir -p /usr/share/php/spyc-master</t>
    <phoneticPr fontId="2"/>
  </si>
  <si>
    <t xml:space="preserve">ls -l /usr/share/php
⇒下記ファイル／ディレクトリが含まれていること
spyc-master
</t>
    <phoneticPr fontId="2"/>
  </si>
  <si>
    <t>Spycダウンロード</t>
    <phoneticPr fontId="2"/>
  </si>
  <si>
    <t>※右記のURLからSpycをダウンロードしてください。</t>
    <rPh sb="1" eb="3">
      <t>ウキ</t>
    </rPh>
    <phoneticPr fontId="2"/>
  </si>
  <si>
    <t>https://github.com/mustangostang/spyc/archive/0.6.2.tar.gz</t>
    <phoneticPr fontId="2"/>
  </si>
  <si>
    <t>Spyc配置</t>
    <rPh sb="4" eb="6">
      <t>ハイチ</t>
    </rPh>
    <phoneticPr fontId="2"/>
  </si>
  <si>
    <t>上記でダウンロードしたSpycを下記のディレクトリに配置してください。
/usr/share/php/spyc-master</t>
    <phoneticPr fontId="2"/>
  </si>
  <si>
    <t>./astroll_gather_library.sh</t>
  </si>
  <si>
    <t xml:space="preserve">astroll環境構築スクリプト
設定ファイル(astroll_builder_setting.txt)修正
</t>
    <rPh sb="7" eb="9">
      <t>カンキョウ</t>
    </rPh>
    <rPh sb="9" eb="11">
      <t>コウチク</t>
    </rPh>
    <rPh sb="17" eb="19">
      <t>セッテイ</t>
    </rPh>
    <rPh sb="52" eb="54">
      <t>シュウセイ</t>
    </rPh>
    <phoneticPr fontId="2"/>
  </si>
  <si>
    <t>「インストールマニュアル.docx」を参照し、
設定ファイル(astroll_builder_setting.txt)を適宜変更すること</t>
    <rPh sb="19" eb="21">
      <t>サンショウ</t>
    </rPh>
    <rPh sb="24" eb="26">
      <t>セッテイ</t>
    </rPh>
    <rPh sb="60" eb="62">
      <t>テキギ</t>
    </rPh>
    <rPh sb="62" eb="64">
      <t>ヘンコウ</t>
    </rPh>
    <phoneticPr fontId="2"/>
  </si>
  <si>
    <t>astroll_builder_setting.txtの編集が未実地の場合は対応
「インストールマニュアル.docx」を参照し、
設定ファイル(astroll_builder_setting.txt)を適宜変更すること</t>
    <rPh sb="28" eb="30">
      <t>ヘンシュウ</t>
    </rPh>
    <rPh sb="31" eb="32">
      <t>ミ</t>
    </rPh>
    <rPh sb="32" eb="34">
      <t>ジッチ</t>
    </rPh>
    <rPh sb="35" eb="37">
      <t>バアイ</t>
    </rPh>
    <rPh sb="38" eb="40">
      <t>タイオウ</t>
    </rPh>
    <rPh sb="60" eb="62">
      <t>サンショウ</t>
    </rPh>
    <rPh sb="65" eb="67">
      <t>セッテイ</t>
    </rPh>
    <rPh sb="101" eb="103">
      <t>テキギ</t>
    </rPh>
    <rPh sb="103" eb="105">
      <t>ヘンコウ</t>
    </rPh>
    <phoneticPr fontId="2"/>
  </si>
  <si>
    <t xml:space="preserve">astrollインストーラ
設定ファイル(astroll_answers.txt)修正
</t>
    <rPh sb="14" eb="16">
      <t>セッテイ</t>
    </rPh>
    <rPh sb="41" eb="43">
      <t>シュウセイ</t>
    </rPh>
    <phoneticPr fontId="2"/>
  </si>
  <si>
    <t>「インストールマニュアル.docx」を参照し、
設定ファイル(astroll_answers.txt)を適宜変更すること</t>
    <rPh sb="19" eb="21">
      <t>サンショウ</t>
    </rPh>
    <rPh sb="24" eb="26">
      <t>セッテイ</t>
    </rPh>
    <rPh sb="52" eb="54">
      <t>テキギ</t>
    </rPh>
    <rPh sb="54" eb="56">
      <t>ヘンコウ</t>
    </rPh>
    <phoneticPr fontId="2"/>
  </si>
  <si>
    <t xml:space="preserve">ls -l /tmp/astroll_install_package
⇒下記ディレクトリが存在すること
ext_files_for_CentOS6.x
ext_files_for_CentOS7.x
ext_packages
install_scripts
ITA
</t>
  </si>
  <si>
    <t>vi /tmp/astroll_install_package/install_scripts/astroll_builder_setting.txt</t>
  </si>
  <si>
    <t xml:space="preserve">cat /tmp/astroll_install_package/install_scripts/astroll_builder_setting.txt
⇒編集内容が反映されていること
</t>
    <rPh sb="79" eb="81">
      <t>ヘンシュウ</t>
    </rPh>
    <rPh sb="81" eb="83">
      <t>ナイヨウ</t>
    </rPh>
    <rPh sb="84" eb="86">
      <t>ハンエイ</t>
    </rPh>
    <phoneticPr fontId="2"/>
  </si>
  <si>
    <t>cd /tmp/astroll_install_package/install_scripts</t>
  </si>
  <si>
    <t xml:space="preserve">pwd
⇒/tmp/astroll_install_package/install_scripts
が表示されること
</t>
    <rPh sb="51" eb="53">
      <t>ヒョウジ</t>
    </rPh>
    <phoneticPr fontId="2"/>
  </si>
  <si>
    <t>find /tmp/astroll_install_package/install_scripts/rpm_files/ -type f | wc -l
⇒いくつかのファイルが存在することが確認できること。</t>
    <rPh sb="89" eb="91">
      <t>ソンザイ</t>
    </rPh>
    <rPh sb="96" eb="98">
      <t>カクニン</t>
    </rPh>
    <phoneticPr fontId="2"/>
  </si>
  <si>
    <t>vi /tmp/astroll_install_package/install_scripts/astroll_answers.txt</t>
  </si>
  <si>
    <t xml:space="preserve">cat /tmp/astroll_install_package/install_scripts/astroll_answers.txt
⇒編集内容が反映されていること
</t>
    <rPh sb="71" eb="73">
      <t>ヘンシュウ</t>
    </rPh>
    <rPh sb="73" eb="75">
      <t>ナイヨウ</t>
    </rPh>
    <rPh sb="76" eb="78">
      <t>ハンエイ</t>
    </rPh>
    <phoneticPr fontId="2"/>
  </si>
  <si>
    <t>オンラインインストールの場合
./tmp/astroll_install_package/install_scripts/astroll_builder_online.sh
オフラインインストールの場合
./tmp/astroll_install_package/install_scripts/astroll_builder_offline.sh</t>
    <rPh sb="12" eb="14">
      <t>バアイ</t>
    </rPh>
    <rPh sb="100" eb="102">
      <t>バアイ</t>
    </rPh>
    <phoneticPr fontId="2"/>
  </si>
  <si>
    <t>diff /tmp/astroll_install_package/ext_files_for_CentOS7.x/etc/sudoers /etc/sudoers</t>
  </si>
  <si>
    <t>cp -p /tmp/astroll_install_package/ext_files_for_CentOS7.x/etc/sudoers /etc/.</t>
  </si>
  <si>
    <t>cp -p /tmp/astroll_install_package/ext_files_for_CentOS7.x/etc/my.cnf /etc/.</t>
  </si>
  <si>
    <t>cp -p /tmp/astroll_install_package/ext_files_for_CentOS7.x/root_.ssh/config /root/.ssh/.</t>
  </si>
  <si>
    <t>cp -rp /tmp/astroll_install_package/ext_files_for_CentOS7.x/usr_lib_python2.7_site-packages/pywinrm-0.2.2.dist-info /usr/lib/python2.7/site-packages/.</t>
  </si>
  <si>
    <t>cp -p /tmp/astroll_install_package/ext_files_for_CentOS7.x/etc_ansible/ansible.cfg /etc/ansible/.</t>
  </si>
  <si>
    <t>diff /tmp/astroll_install_package/ext_files_for_CentOS7.x/etc_xinetd.d/tftp /etc/xinetd.d/tftp</t>
  </si>
  <si>
    <t>cp -p /tmp/astroll_install_package/ext_files_for_CentOS7.x/etc_xinetd.d/tftp /etc/xinetd.d/.</t>
  </si>
  <si>
    <t>cp -p /tmp/astroll_install_package/ext_files_for_CentOS7.x/etc_xinetd.d/rsync /etc/xinetd.d/.</t>
  </si>
  <si>
    <t>diff /tmp/astroll_install_package/ext_files_for_CentOS7.x/etc/debmirror.conf /etc/debmirror.conf</t>
  </si>
  <si>
    <t>cp -p /tmp/astroll_install_package/ext_files_for_CentOS7.x/etc/debmirror.conf /etc/.</t>
  </si>
  <si>
    <t>diff /tmp/astroll_install_package/ext_files_for_CentOS7.x/etc_cobbler_pxe/pxedefault.template /etc/cobbler/pxe/pxedefault.template</t>
  </si>
  <si>
    <t>cp -p /tmp/astroll_install_package/ext_files_for_CentOS7.x/etc_cobbler_pxe/pxedefault.template /etc/cobbler/pxe/.</t>
  </si>
  <si>
    <t>cp -p /tmp/astroll_install_package/ext_files_for_CentOS7.x/var_lib_cobbler_loaders/* /var/lib/cobbler/loaders/.</t>
  </si>
  <si>
    <t>/tmp/astroll_install_package/install_scripts/astroll_installer.sh</t>
  </si>
  <si>
    <t xml:space="preserve">(インストール資材展開先)/astroll_install_package/install_scripts/list/777_list.txt
</t>
  </si>
  <si>
    <t xml:space="preserve">(インストール資材展開先)/astroll_install_package/install_scripts/list/755_list.txt
</t>
  </si>
  <si>
    <t>/tmp/astroll_install_package/install_scripts/log/astroll_installer.log
で処理内容を確認する</t>
  </si>
  <si>
    <t>/tmp/astroll_install_package/install_scripts/log/astroll_installer.log
で処理内容を確認する</t>
    <rPh sb="72" eb="74">
      <t>ショリ</t>
    </rPh>
    <rPh sb="74" eb="76">
      <t>ナイヨウ</t>
    </rPh>
    <rPh sb="77" eb="79">
      <t>カクニン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</si>
</sst>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u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6"/>
      <color theme="0"/>
      <name val="ＭＳ Ｐゴシック"/>
      <family val="3"/>
      <charset val="128"/>
      <scheme val="minor"/>
    </font>
    <font>
      <b/>
      <sz val="16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2B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dashed">
        <color theme="0"/>
      </right>
      <top style="dashed">
        <color theme="0"/>
      </top>
      <bottom style="thin">
        <color auto="1"/>
      </bottom>
      <diagonal/>
    </border>
    <border>
      <left style="dashed">
        <color theme="0"/>
      </left>
      <right style="thin">
        <color theme="0"/>
      </right>
      <top style="dashed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dash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/>
      <right/>
      <top style="thin">
        <color auto="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/>
  </cellStyleXfs>
  <cellXfs count="178">
    <xf numFmtId="0" fontId="0" fillId="0" borderId="0" xfId="0">
      <alignment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top" shrinkToFit="1"/>
    </xf>
    <xf numFmtId="0" fontId="0" fillId="4" borderId="1" xfId="0" applyFill="1" applyBorder="1" applyAlignment="1">
      <alignment vertical="top" wrapText="1"/>
    </xf>
    <xf numFmtId="0" fontId="0" fillId="4" borderId="1" xfId="0" applyFill="1" applyBorder="1" applyAlignment="1">
      <alignment vertical="top" shrinkToFit="1"/>
    </xf>
    <xf numFmtId="0" fontId="6" fillId="4" borderId="1" xfId="0" applyFont="1" applyFill="1" applyBorder="1" applyAlignment="1">
      <alignment horizontal="center" vertical="top" wrapText="1" shrinkToFit="1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4" borderId="1" xfId="0" applyFill="1" applyBorder="1" applyAlignment="1">
      <alignment vertical="top"/>
    </xf>
    <xf numFmtId="0" fontId="6" fillId="4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horizontal="center" vertical="top" wrapText="1" shrinkToFit="1"/>
    </xf>
    <xf numFmtId="0" fontId="0" fillId="6" borderId="1" xfId="0" applyFill="1" applyBorder="1" applyAlignment="1">
      <alignment horizontal="center" vertical="top"/>
    </xf>
    <xf numFmtId="0" fontId="0" fillId="0" borderId="1" xfId="0" applyBorder="1" applyAlignment="1">
      <alignment vertical="top" shrinkToFit="1"/>
    </xf>
    <xf numFmtId="0" fontId="0" fillId="7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 wrapText="1" shrinkToFit="1"/>
    </xf>
    <xf numFmtId="0" fontId="0" fillId="0" borderId="1" xfId="0" applyFill="1" applyBorder="1" applyAlignment="1">
      <alignment vertical="top" wrapText="1" shrinkToFit="1"/>
    </xf>
    <xf numFmtId="0" fontId="9" fillId="0" borderId="13" xfId="1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1" fillId="3" borderId="5" xfId="0" applyFont="1" applyFill="1" applyBorder="1" applyAlignment="1">
      <alignment horizontal="center" vertical="top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3" xfId="0" applyFont="1" applyFill="1" applyBorder="1" applyAlignment="1">
      <alignment horizontal="left" vertical="top" wrapText="1"/>
    </xf>
    <xf numFmtId="0" fontId="3" fillId="3" borderId="14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top" wrapText="1"/>
    </xf>
    <xf numFmtId="0" fontId="3" fillId="3" borderId="2" xfId="0" applyFont="1" applyFill="1" applyBorder="1" applyAlignment="1">
      <alignment horizontal="center" vertical="top" wrapText="1"/>
    </xf>
    <xf numFmtId="0" fontId="0" fillId="0" borderId="23" xfId="0" applyBorder="1" applyAlignment="1">
      <alignment horizontal="left" vertical="top" wrapText="1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6" fillId="8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/>
    </xf>
    <xf numFmtId="0" fontId="5" fillId="0" borderId="1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center" vertical="top" wrapText="1"/>
    </xf>
    <xf numFmtId="0" fontId="5" fillId="0" borderId="2" xfId="0" applyFont="1" applyFill="1" applyBorder="1" applyAlignment="1">
      <alignment horizontal="center" vertical="top" wrapText="1"/>
    </xf>
    <xf numFmtId="0" fontId="5" fillId="0" borderId="13" xfId="0" applyFont="1" applyFill="1" applyBorder="1" applyAlignment="1">
      <alignment horizontal="left" vertical="top" wrapText="1"/>
    </xf>
    <xf numFmtId="0" fontId="5" fillId="0" borderId="14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6" xfId="0" applyFill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4" xfId="0" applyBorder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1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19" xfId="0" applyFill="1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3" xfId="0" applyBorder="1" applyAlignment="1">
      <alignment vertical="top" wrapText="1"/>
    </xf>
    <xf numFmtId="0" fontId="0" fillId="0" borderId="25" xfId="0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13" fillId="0" borderId="14" xfId="0" applyFont="1" applyBorder="1" applyAlignment="1">
      <alignment horizontal="left" vertical="top" wrapText="1"/>
    </xf>
    <xf numFmtId="0" fontId="1" fillId="3" borderId="31" xfId="0" applyFont="1" applyFill="1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4" xfId="0" applyFill="1" applyBorder="1" applyAlignment="1">
      <alignment vertical="top" wrapText="1"/>
    </xf>
    <xf numFmtId="0" fontId="15" fillId="9" borderId="1" xfId="2" applyFill="1" applyBorder="1"/>
    <xf numFmtId="0" fontId="15" fillId="0" borderId="1" xfId="2" applyBorder="1"/>
    <xf numFmtId="0" fontId="15" fillId="0" borderId="0" xfId="2"/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0" fillId="0" borderId="1" xfId="0" applyBorder="1" applyAlignment="1">
      <alignment horizontal="left" vertical="top" wrapText="1"/>
    </xf>
    <xf numFmtId="0" fontId="3" fillId="3" borderId="32" xfId="0" applyFont="1" applyFill="1" applyBorder="1" applyAlignment="1">
      <alignment horizontal="center" vertical="center" textRotation="90"/>
    </xf>
    <xf numFmtId="0" fontId="0" fillId="0" borderId="0" xfId="0" applyAlignment="1">
      <alignment horizontal="left" vertical="center"/>
    </xf>
    <xf numFmtId="0" fontId="3" fillId="3" borderId="33" xfId="0" applyFont="1" applyFill="1" applyBorder="1" applyAlignment="1">
      <alignment horizontal="center" vertical="center" textRotation="90"/>
    </xf>
    <xf numFmtId="0" fontId="3" fillId="2" borderId="33" xfId="0" applyFont="1" applyFill="1" applyBorder="1" applyAlignment="1">
      <alignment horizontal="center" vertical="center" textRotation="90"/>
    </xf>
    <xf numFmtId="0" fontId="0" fillId="0" borderId="36" xfId="0" applyBorder="1">
      <alignment vertical="center"/>
    </xf>
    <xf numFmtId="0" fontId="0" fillId="0" borderId="1" xfId="0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8" xfId="0" applyFill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3" fillId="3" borderId="9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1" fillId="3" borderId="2" xfId="0" applyFont="1" applyFill="1" applyBorder="1" applyAlignment="1">
      <alignment horizontal="left" vertical="top"/>
    </xf>
    <xf numFmtId="0" fontId="11" fillId="3" borderId="19" xfId="0" applyFont="1" applyFill="1" applyBorder="1" applyAlignment="1">
      <alignment horizontal="left" vertical="top"/>
    </xf>
    <xf numFmtId="0" fontId="11" fillId="3" borderId="3" xfId="0" applyFont="1" applyFill="1" applyBorder="1" applyAlignment="1">
      <alignment horizontal="left" vertical="top"/>
    </xf>
    <xf numFmtId="0" fontId="3" fillId="3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11" fillId="3" borderId="25" xfId="0" applyFont="1" applyFill="1" applyBorder="1" applyAlignment="1">
      <alignment horizontal="left" vertical="top"/>
    </xf>
    <xf numFmtId="0" fontId="11" fillId="3" borderId="26" xfId="0" applyFont="1" applyFill="1" applyBorder="1" applyAlignment="1">
      <alignment horizontal="left" vertical="top"/>
    </xf>
    <xf numFmtId="0" fontId="11" fillId="3" borderId="27" xfId="0" applyFont="1" applyFill="1" applyBorder="1" applyAlignment="1">
      <alignment horizontal="left" vertical="top"/>
    </xf>
    <xf numFmtId="0" fontId="1" fillId="2" borderId="2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2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38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0" fillId="0" borderId="6" xfId="0" applyFill="1" applyBorder="1" applyAlignment="1">
      <alignment horizontal="center" vertical="top" wrapText="1"/>
    </xf>
    <xf numFmtId="0" fontId="0" fillId="0" borderId="28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25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0" xfId="0" applyBorder="1" applyAlignment="1">
      <alignment horizontal="center" vertical="top"/>
    </xf>
    <xf numFmtId="0" fontId="12" fillId="2" borderId="2" xfId="0" applyFont="1" applyFill="1" applyBorder="1" applyAlignment="1">
      <alignment horizontal="left" vertical="top"/>
    </xf>
    <xf numFmtId="0" fontId="11" fillId="2" borderId="19" xfId="0" applyFont="1" applyFill="1" applyBorder="1" applyAlignment="1">
      <alignment horizontal="left" vertical="top"/>
    </xf>
    <xf numFmtId="0" fontId="11" fillId="2" borderId="3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3">
    <cellStyle name="ハイパーリンク" xfId="1" builtinId="8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002B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3</xdr:col>
          <xdr:colOff>9525</xdr:colOff>
          <xdr:row>4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Q39"/>
  <sheetViews>
    <sheetView tabSelected="1" view="pageBreakPreview" zoomScale="70" zoomScaleNormal="85" zoomScaleSheetLayoutView="70" workbookViewId="0">
      <pane xSplit="3" ySplit="12" topLeftCell="D27" activePane="bottomRight" state="frozen"/>
      <selection pane="topRight" activeCell="D1" sqref="D1"/>
      <selection pane="bottomLeft" activeCell="A13" sqref="A13"/>
      <selection pane="bottomRight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49" customWidth="1"/>
    <col min="15" max="15" width="46.625" customWidth="1"/>
    <col min="16" max="16" width="53.75" customWidth="1"/>
    <col min="17" max="17" width="60.625" customWidth="1"/>
  </cols>
  <sheetData>
    <row r="1" spans="2:17" ht="5.0999999999999996" customHeight="1" x14ac:dyDescent="0.15"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</row>
    <row r="2" spans="2:17" x14ac:dyDescent="0.15">
      <c r="B2" s="158" t="s">
        <v>0</v>
      </c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</row>
    <row r="3" spans="2:17" x14ac:dyDescent="0.15">
      <c r="B3" s="146" t="str">
        <f ca="1">REPLACE(LEFT(CELL("filename",$A$1),FIND(".xlsm",CELL("filename",$A$1))-1),1,FIND("[",CELL("filename",$A$1)),)</f>
        <v>RHEL7.x_環境構築マニュアル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</row>
    <row r="4" spans="2:17" ht="5.0999999999999996" customHeight="1" x14ac:dyDescent="0.15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</row>
    <row r="5" spans="2:17" x14ac:dyDescent="0.15">
      <c r="B5" s="156" t="s">
        <v>9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</row>
    <row r="6" spans="2:17" x14ac:dyDescent="0.15">
      <c r="B6" s="146" t="s">
        <v>308</v>
      </c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</row>
    <row r="7" spans="2:17" ht="5.0999999999999996" customHeight="1" x14ac:dyDescent="0.15"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</row>
    <row r="8" spans="2:17" x14ac:dyDescent="0.15">
      <c r="B8" s="156" t="s">
        <v>327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</row>
    <row r="9" spans="2:17" x14ac:dyDescent="0.15">
      <c r="B9" s="146" t="s">
        <v>436</v>
      </c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</row>
    <row r="10" spans="2:17" ht="5.0999999999999996" customHeight="1" x14ac:dyDescent="0.15"/>
    <row r="11" spans="2:17" x14ac:dyDescent="0.15">
      <c r="B11" s="129" t="s">
        <v>1</v>
      </c>
      <c r="C11" s="131" t="s">
        <v>2</v>
      </c>
      <c r="D11" s="151" t="s">
        <v>2</v>
      </c>
      <c r="E11" s="152"/>
      <c r="F11" s="152"/>
      <c r="G11" s="152"/>
      <c r="H11" s="152"/>
      <c r="I11" s="152"/>
      <c r="J11" s="152"/>
      <c r="K11" s="152"/>
      <c r="L11" s="152"/>
      <c r="M11" s="152"/>
      <c r="N11" s="133" t="s">
        <v>3</v>
      </c>
      <c r="O11" s="133"/>
      <c r="P11" s="131" t="s">
        <v>4</v>
      </c>
      <c r="Q11" s="144" t="s">
        <v>5</v>
      </c>
    </row>
    <row r="12" spans="2:17" ht="133.5" customHeight="1" x14ac:dyDescent="0.15">
      <c r="B12" s="130"/>
      <c r="C12" s="132"/>
      <c r="D12" s="123" t="s">
        <v>32</v>
      </c>
      <c r="E12" s="123" t="s">
        <v>406</v>
      </c>
      <c r="F12" s="121" t="s">
        <v>28</v>
      </c>
      <c r="G12" s="121" t="s">
        <v>29</v>
      </c>
      <c r="H12" s="123" t="s">
        <v>30</v>
      </c>
      <c r="I12" s="123" t="s">
        <v>31</v>
      </c>
      <c r="J12" s="124" t="s">
        <v>334</v>
      </c>
      <c r="K12" s="124" t="s">
        <v>335</v>
      </c>
      <c r="L12" s="124" t="s">
        <v>336</v>
      </c>
      <c r="M12" s="121" t="s">
        <v>340</v>
      </c>
      <c r="N12" s="39" t="s">
        <v>6</v>
      </c>
      <c r="O12" s="40" t="s">
        <v>7</v>
      </c>
      <c r="P12" s="132"/>
      <c r="Q12" s="145"/>
    </row>
    <row r="13" spans="2:17" ht="30" customHeight="1" x14ac:dyDescent="0.15">
      <c r="B13" s="38"/>
      <c r="C13" s="148" t="s">
        <v>407</v>
      </c>
      <c r="D13" s="149"/>
      <c r="E13" s="149"/>
      <c r="F13" s="149"/>
      <c r="G13" s="149"/>
      <c r="H13" s="149"/>
      <c r="I13" s="149"/>
      <c r="J13" s="149"/>
      <c r="K13" s="149"/>
      <c r="L13" s="149"/>
      <c r="M13" s="149"/>
      <c r="N13" s="149"/>
      <c r="O13" s="149"/>
      <c r="P13" s="149"/>
      <c r="Q13" s="150"/>
    </row>
    <row r="14" spans="2:17" ht="130.5" customHeight="1" x14ac:dyDescent="0.15">
      <c r="B14" s="38">
        <f>MAX(B8:B$11)+1</f>
        <v>1</v>
      </c>
      <c r="C14" s="134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14" s="139" t="s">
        <v>33</v>
      </c>
      <c r="E14" s="139"/>
      <c r="F14" s="139"/>
      <c r="G14" s="139"/>
      <c r="H14" s="139"/>
      <c r="I14" s="139"/>
      <c r="J14" s="139"/>
      <c r="K14" s="139"/>
      <c r="L14" s="139"/>
      <c r="M14" s="139"/>
      <c r="N14" s="4" t="s">
        <v>328</v>
      </c>
      <c r="O14" s="3" t="s">
        <v>8</v>
      </c>
      <c r="P14" s="113" t="s">
        <v>35</v>
      </c>
      <c r="Q14" s="1"/>
    </row>
    <row r="15" spans="2:17" ht="45.75" customHeight="1" x14ac:dyDescent="0.15">
      <c r="B15" s="38">
        <f>MAX(B$11:B14)+1</f>
        <v>2</v>
      </c>
      <c r="C15" s="136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4" t="str">
        <f>"tar -zxvf "&amp;$B$9</f>
        <v>tar -zxvf astroll_Ver1.0_yyyymmddhhmmss.tar.gz</v>
      </c>
      <c r="O15" s="3" t="s">
        <v>8</v>
      </c>
      <c r="P15" s="64" t="s">
        <v>464</v>
      </c>
      <c r="Q15" s="1"/>
    </row>
    <row r="16" spans="2:17" ht="67.5" x14ac:dyDescent="0.15">
      <c r="B16" s="38">
        <f>MAX(B$11:B15)+1</f>
        <v>3</v>
      </c>
      <c r="C16" s="6" t="s">
        <v>459</v>
      </c>
      <c r="D16" s="10" t="s">
        <v>33</v>
      </c>
      <c r="E16" s="10"/>
      <c r="F16" s="10"/>
      <c r="G16" s="10"/>
      <c r="H16" s="110"/>
      <c r="I16" s="110"/>
      <c r="J16" s="52"/>
      <c r="K16" s="52"/>
      <c r="L16" s="52"/>
      <c r="M16" s="10"/>
      <c r="N16" s="4" t="s">
        <v>465</v>
      </c>
      <c r="O16" s="47" t="s">
        <v>460</v>
      </c>
      <c r="P16" s="113" t="s">
        <v>466</v>
      </c>
      <c r="Q16" s="113"/>
    </row>
    <row r="17" spans="2:17" ht="44.25" customHeight="1" x14ac:dyDescent="0.15">
      <c r="B17" s="38">
        <f>MAX(B$11:B16)+1</f>
        <v>4</v>
      </c>
      <c r="C17" s="134" t="s">
        <v>408</v>
      </c>
      <c r="D17" s="10" t="s">
        <v>33</v>
      </c>
      <c r="E17" s="10"/>
      <c r="F17" s="10"/>
      <c r="G17" s="10"/>
      <c r="H17" s="110"/>
      <c r="I17" s="110"/>
      <c r="J17" s="52"/>
      <c r="K17" s="52"/>
      <c r="L17" s="52"/>
      <c r="M17" s="10"/>
      <c r="N17" s="4" t="s">
        <v>467</v>
      </c>
      <c r="O17" s="3" t="s">
        <v>325</v>
      </c>
      <c r="P17" s="127" t="s">
        <v>468</v>
      </c>
      <c r="Q17" s="127"/>
    </row>
    <row r="18" spans="2:17" ht="44.25" customHeight="1" x14ac:dyDescent="0.15">
      <c r="B18" s="38"/>
      <c r="C18" s="135"/>
      <c r="D18" s="10" t="s">
        <v>33</v>
      </c>
      <c r="E18" s="10"/>
      <c r="F18" s="10"/>
      <c r="G18" s="10"/>
      <c r="H18" s="110"/>
      <c r="I18" s="110"/>
      <c r="J18" s="52"/>
      <c r="K18" s="52"/>
      <c r="L18" s="52"/>
      <c r="M18" s="10"/>
      <c r="N18" s="4" t="s">
        <v>458</v>
      </c>
      <c r="O18" s="104" t="s">
        <v>409</v>
      </c>
      <c r="P18" s="127" t="s">
        <v>469</v>
      </c>
      <c r="Q18" s="127"/>
    </row>
    <row r="19" spans="2:17" ht="67.5" customHeight="1" x14ac:dyDescent="0.15">
      <c r="B19" s="38">
        <f>MAX(B$11:B17)+1</f>
        <v>5</v>
      </c>
      <c r="C19" s="136"/>
      <c r="D19" s="111" t="s">
        <v>33</v>
      </c>
      <c r="E19" s="107"/>
      <c r="F19" s="107"/>
      <c r="G19" s="107"/>
      <c r="H19" s="109"/>
      <c r="I19" s="109"/>
      <c r="J19" s="90"/>
      <c r="K19" s="90"/>
      <c r="L19" s="90"/>
      <c r="M19" s="107"/>
      <c r="N19" s="33" t="str">
        <f>"ls in_put_library_"&amp;$B$9&amp;""</f>
        <v>ls in_put_library_astroll_Ver1.0_yyyymmddhhmmss.tar.gz</v>
      </c>
      <c r="O19" s="33" t="s">
        <v>375</v>
      </c>
      <c r="P19" s="106"/>
      <c r="Q19" s="106"/>
    </row>
    <row r="20" spans="2:17" ht="67.5" customHeight="1" x14ac:dyDescent="0.15">
      <c r="B20" s="38">
        <f>MAX(B$11:B19)+1</f>
        <v>6</v>
      </c>
      <c r="C20" s="113" t="str">
        <f>"in_put_library_"&amp;$B$9&amp;"をDVD,USB等でastrollサーバーに移動する"</f>
        <v>in_put_library_astroll_Ver1.0_yyyymmddhhmmss.tar.gzをDVD,USB等でastrollサーバーに移動する</v>
      </c>
      <c r="D20" s="111" t="s">
        <v>33</v>
      </c>
      <c r="E20" s="108"/>
      <c r="F20" s="108"/>
      <c r="G20" s="108"/>
      <c r="H20" s="112"/>
      <c r="I20" s="112"/>
      <c r="J20" s="55"/>
      <c r="K20" s="55"/>
      <c r="L20" s="55"/>
      <c r="M20" s="108"/>
      <c r="N20" s="113" t="s">
        <v>364</v>
      </c>
      <c r="O20" s="113" t="s">
        <v>364</v>
      </c>
      <c r="P20" s="113" t="s">
        <v>364</v>
      </c>
      <c r="Q20" s="113"/>
    </row>
    <row r="21" spans="2:17" ht="30" customHeight="1" x14ac:dyDescent="0.15">
      <c r="B21" s="105"/>
      <c r="C21" s="153" t="s">
        <v>410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5"/>
    </row>
    <row r="22" spans="2:17" ht="130.5" customHeight="1" x14ac:dyDescent="0.15">
      <c r="B22" s="38">
        <f>MAX(B$11:B21)+1</f>
        <v>7</v>
      </c>
      <c r="C22" s="134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2" s="139" t="s">
        <v>33</v>
      </c>
      <c r="E22" s="139"/>
      <c r="F22" s="139"/>
      <c r="G22" s="139"/>
      <c r="H22" s="139"/>
      <c r="I22" s="139"/>
      <c r="J22" s="139"/>
      <c r="K22" s="139"/>
      <c r="L22" s="139"/>
      <c r="M22" s="139"/>
      <c r="N22" s="4" t="s">
        <v>328</v>
      </c>
      <c r="O22" s="3" t="s">
        <v>10</v>
      </c>
      <c r="P22" s="103" t="s">
        <v>35</v>
      </c>
      <c r="Q22" s="1"/>
    </row>
    <row r="23" spans="2:17" ht="68.25" customHeight="1" x14ac:dyDescent="0.15">
      <c r="B23" s="38">
        <f>MAX(B$11:B22)+1</f>
        <v>8</v>
      </c>
      <c r="C23" s="136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4" t="str">
        <f>"tar -zxvf "&amp;$B$9&amp;"
※オフライン作業の場合は下記コマンドを実行
tar -zxvf in_put_library_"&amp;$B$9</f>
        <v>tar -zxvf astroll_Ver1.0_yyyymmddhhmmss.tar.gz
※オフライン作業の場合は下記コマンドを実行
tar -zxvf in_put_library_astroll_Ver1.0_yyyymmddhhmmss.tar.gz</v>
      </c>
      <c r="O23" s="3" t="s">
        <v>10</v>
      </c>
      <c r="P23" s="64" t="s">
        <v>464</v>
      </c>
      <c r="Q23" s="1"/>
    </row>
    <row r="24" spans="2:17" ht="27" x14ac:dyDescent="0.15">
      <c r="B24" s="38">
        <f>MAX(B$11:B23)+1</f>
        <v>9</v>
      </c>
      <c r="C24" s="97" t="s">
        <v>357</v>
      </c>
      <c r="D24" s="102" t="s">
        <v>33</v>
      </c>
      <c r="E24" s="102"/>
      <c r="F24" s="95"/>
      <c r="G24" s="102"/>
      <c r="H24" s="98"/>
      <c r="I24" s="98"/>
      <c r="J24" s="98"/>
      <c r="K24" s="94"/>
      <c r="L24" s="98"/>
      <c r="M24" s="102"/>
      <c r="N24" s="86" t="s">
        <v>358</v>
      </c>
      <c r="O24" s="54" t="s">
        <v>411</v>
      </c>
      <c r="P24" s="103" t="s">
        <v>8</v>
      </c>
      <c r="Q24" s="96" t="s">
        <v>356</v>
      </c>
    </row>
    <row r="25" spans="2:17" ht="54" x14ac:dyDescent="0.15">
      <c r="B25" s="38">
        <f>MAX(B$11:B24)+1</f>
        <v>10</v>
      </c>
      <c r="C25" s="137" t="s">
        <v>15</v>
      </c>
      <c r="D25" s="139" t="s">
        <v>33</v>
      </c>
      <c r="E25" s="139"/>
      <c r="F25" s="139"/>
      <c r="G25" s="139"/>
      <c r="H25" s="141"/>
      <c r="I25" s="141"/>
      <c r="J25" s="141"/>
      <c r="K25" s="141"/>
      <c r="L25" s="141"/>
      <c r="M25" s="139"/>
      <c r="N25" s="4" t="s">
        <v>362</v>
      </c>
      <c r="O25" s="3" t="s">
        <v>10</v>
      </c>
      <c r="P25" s="103" t="s">
        <v>34</v>
      </c>
      <c r="Q25" s="1"/>
    </row>
    <row r="26" spans="2:17" ht="121.5" x14ac:dyDescent="0.15">
      <c r="B26" s="38">
        <f>MAX(B$11:B25)+1</f>
        <v>11</v>
      </c>
      <c r="C26" s="138"/>
      <c r="D26" s="140"/>
      <c r="E26" s="140"/>
      <c r="F26" s="140"/>
      <c r="G26" s="140"/>
      <c r="H26" s="142"/>
      <c r="I26" s="142"/>
      <c r="J26" s="142"/>
      <c r="K26" s="142"/>
      <c r="L26" s="142"/>
      <c r="M26" s="140"/>
      <c r="N26" s="4" t="s">
        <v>16</v>
      </c>
      <c r="O26" s="3" t="s">
        <v>10</v>
      </c>
      <c r="P26" s="103" t="s">
        <v>17</v>
      </c>
      <c r="Q26" s="1"/>
    </row>
    <row r="27" spans="2:17" ht="108" x14ac:dyDescent="0.15">
      <c r="B27" s="38">
        <f>MAX(B$11:B26)+1</f>
        <v>12</v>
      </c>
      <c r="C27" s="138"/>
      <c r="D27" s="140"/>
      <c r="E27" s="140"/>
      <c r="F27" s="140"/>
      <c r="G27" s="140"/>
      <c r="H27" s="142"/>
      <c r="I27" s="142"/>
      <c r="J27" s="142"/>
      <c r="K27" s="142"/>
      <c r="L27" s="142"/>
      <c r="M27" s="140"/>
      <c r="N27" s="4" t="s">
        <v>18</v>
      </c>
      <c r="O27" s="3" t="s">
        <v>10</v>
      </c>
      <c r="P27" s="103" t="s">
        <v>19</v>
      </c>
      <c r="Q27" s="1"/>
    </row>
    <row r="28" spans="2:17" ht="94.5" x14ac:dyDescent="0.15">
      <c r="B28" s="38">
        <f>MAX(B$11:B27)+1</f>
        <v>13</v>
      </c>
      <c r="C28" s="138"/>
      <c r="D28" s="140"/>
      <c r="E28" s="140"/>
      <c r="F28" s="140"/>
      <c r="G28" s="140"/>
      <c r="H28" s="142"/>
      <c r="I28" s="142"/>
      <c r="J28" s="142"/>
      <c r="K28" s="142"/>
      <c r="L28" s="142"/>
      <c r="M28" s="140"/>
      <c r="N28" s="4" t="s">
        <v>20</v>
      </c>
      <c r="O28" s="3" t="s">
        <v>10</v>
      </c>
      <c r="P28" s="103" t="s">
        <v>21</v>
      </c>
      <c r="Q28" s="1"/>
    </row>
    <row r="29" spans="2:17" ht="54" x14ac:dyDescent="0.15">
      <c r="B29" s="38">
        <f>MAX(B$11:B28)+1</f>
        <v>14</v>
      </c>
      <c r="C29" s="138"/>
      <c r="D29" s="140"/>
      <c r="E29" s="140"/>
      <c r="F29" s="140"/>
      <c r="G29" s="140"/>
      <c r="H29" s="142"/>
      <c r="I29" s="142"/>
      <c r="J29" s="142"/>
      <c r="K29" s="142"/>
      <c r="L29" s="142"/>
      <c r="M29" s="140"/>
      <c r="N29" s="34" t="s">
        <v>22</v>
      </c>
      <c r="O29" s="33" t="s">
        <v>23</v>
      </c>
      <c r="P29" s="100" t="s">
        <v>24</v>
      </c>
      <c r="Q29" s="101"/>
    </row>
    <row r="30" spans="2:17" ht="40.5" x14ac:dyDescent="0.15">
      <c r="B30" s="38">
        <f>MAX(B$11:B29)+1</f>
        <v>15</v>
      </c>
      <c r="C30" s="103" t="s">
        <v>363</v>
      </c>
      <c r="D30" s="102" t="s">
        <v>33</v>
      </c>
      <c r="E30" s="102"/>
      <c r="F30" s="102"/>
      <c r="G30" s="102"/>
      <c r="H30" s="98"/>
      <c r="I30" s="98"/>
      <c r="J30" s="98"/>
      <c r="K30" s="98"/>
      <c r="L30" s="98"/>
      <c r="M30" s="102"/>
      <c r="N30" s="4" t="s">
        <v>14</v>
      </c>
      <c r="O30" s="3" t="s">
        <v>10</v>
      </c>
      <c r="P30" s="3" t="s">
        <v>294</v>
      </c>
      <c r="Q30" s="1"/>
    </row>
    <row r="31" spans="2:17" ht="88.5" customHeight="1" x14ac:dyDescent="0.15">
      <c r="B31" s="38">
        <f>MAX(B$11:B30)+1</f>
        <v>16</v>
      </c>
      <c r="C31" s="6" t="s">
        <v>459</v>
      </c>
      <c r="D31" s="10" t="s">
        <v>33</v>
      </c>
      <c r="E31" s="10"/>
      <c r="F31" s="10"/>
      <c r="G31" s="10"/>
      <c r="H31" s="99"/>
      <c r="I31" s="99"/>
      <c r="J31" s="52"/>
      <c r="K31" s="52"/>
      <c r="L31" s="52"/>
      <c r="M31" s="10"/>
      <c r="N31" s="4" t="s">
        <v>465</v>
      </c>
      <c r="O31" s="47" t="s">
        <v>461</v>
      </c>
      <c r="P31" s="103" t="s">
        <v>466</v>
      </c>
      <c r="Q31" s="103"/>
    </row>
    <row r="32" spans="2:17" ht="69.75" customHeight="1" x14ac:dyDescent="0.15">
      <c r="B32" s="38">
        <f>MAX(B$11:B31)+1</f>
        <v>17</v>
      </c>
      <c r="C32" s="6" t="s">
        <v>462</v>
      </c>
      <c r="D32" s="10" t="s">
        <v>33</v>
      </c>
      <c r="E32" s="10"/>
      <c r="F32" s="10"/>
      <c r="G32" s="10"/>
      <c r="H32" s="99"/>
      <c r="I32" s="99"/>
      <c r="J32" s="52"/>
      <c r="K32" s="52"/>
      <c r="L32" s="52"/>
      <c r="M32" s="10"/>
      <c r="N32" s="4" t="s">
        <v>470</v>
      </c>
      <c r="O32" s="47" t="s">
        <v>463</v>
      </c>
      <c r="P32" s="103" t="s">
        <v>471</v>
      </c>
      <c r="Q32" s="103"/>
    </row>
    <row r="33" spans="2:17" ht="99.75" customHeight="1" x14ac:dyDescent="0.15">
      <c r="B33" s="38">
        <f>MAX(B$11:B32)+1</f>
        <v>18</v>
      </c>
      <c r="C33" s="6" t="s">
        <v>408</v>
      </c>
      <c r="D33" s="10" t="s">
        <v>33</v>
      </c>
      <c r="E33" s="10"/>
      <c r="F33" s="10"/>
      <c r="G33" s="10"/>
      <c r="H33" s="99"/>
      <c r="I33" s="99"/>
      <c r="J33" s="52"/>
      <c r="K33" s="52"/>
      <c r="L33" s="52"/>
      <c r="M33" s="10"/>
      <c r="N33" s="4" t="s">
        <v>472</v>
      </c>
      <c r="O33" s="104" t="s">
        <v>413</v>
      </c>
      <c r="P33" s="103" t="s">
        <v>490</v>
      </c>
      <c r="Q33" s="103"/>
    </row>
    <row r="34" spans="2:17" ht="30" customHeight="1" x14ac:dyDescent="0.15">
      <c r="B34" s="38"/>
      <c r="C34" s="148" t="s">
        <v>316</v>
      </c>
      <c r="D34" s="149"/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50"/>
    </row>
    <row r="35" spans="2:17" ht="114.75" customHeight="1" x14ac:dyDescent="0.15">
      <c r="B35" s="38">
        <f>MAX(B$11:B34)+1</f>
        <v>19</v>
      </c>
      <c r="C35" s="88" t="s">
        <v>311</v>
      </c>
      <c r="D35" s="89"/>
      <c r="E35" s="89"/>
      <c r="F35" s="89"/>
      <c r="G35" s="89"/>
      <c r="H35" s="89"/>
      <c r="I35" s="89" t="s">
        <v>33</v>
      </c>
      <c r="J35" s="114"/>
      <c r="K35" s="114"/>
      <c r="L35" s="114"/>
      <c r="M35" s="89"/>
      <c r="N35" s="120" t="s">
        <v>403</v>
      </c>
      <c r="O35" s="86"/>
      <c r="P35" s="120" t="s">
        <v>8</v>
      </c>
      <c r="Q35" s="120"/>
    </row>
    <row r="36" spans="2:17" ht="30" customHeight="1" x14ac:dyDescent="0.15">
      <c r="B36" s="38"/>
      <c r="C36" s="148" t="s">
        <v>317</v>
      </c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50"/>
    </row>
    <row r="37" spans="2:17" ht="27" x14ac:dyDescent="0.15">
      <c r="B37" s="38">
        <f>MAX(B$11:B36)+1</f>
        <v>20</v>
      </c>
      <c r="C37" s="134" t="s">
        <v>289</v>
      </c>
      <c r="D37" s="102"/>
      <c r="E37" s="102" t="s">
        <v>33</v>
      </c>
      <c r="F37" s="102"/>
      <c r="G37" s="102"/>
      <c r="H37" s="98"/>
      <c r="I37" s="98"/>
      <c r="J37" s="98" t="s">
        <v>338</v>
      </c>
      <c r="K37" s="98" t="s">
        <v>338</v>
      </c>
      <c r="L37" s="98" t="s">
        <v>338</v>
      </c>
      <c r="M37" s="102"/>
      <c r="N37" s="29" t="s">
        <v>404</v>
      </c>
      <c r="O37" s="3" t="s">
        <v>8</v>
      </c>
      <c r="P37" s="103" t="s">
        <v>412</v>
      </c>
      <c r="Q37" s="1"/>
    </row>
    <row r="38" spans="2:17" ht="27" x14ac:dyDescent="0.15">
      <c r="B38" s="38">
        <f>MAX(B$11:B37)+1</f>
        <v>21</v>
      </c>
      <c r="C38" s="135"/>
      <c r="D38" s="102"/>
      <c r="E38" s="102"/>
      <c r="F38" s="102"/>
      <c r="G38" s="102" t="s">
        <v>33</v>
      </c>
      <c r="H38" s="98"/>
      <c r="I38" s="98"/>
      <c r="J38" s="51"/>
      <c r="K38" s="51"/>
      <c r="L38" s="51"/>
      <c r="M38" s="102"/>
      <c r="N38" s="29" t="s">
        <v>405</v>
      </c>
      <c r="O38" s="3" t="s">
        <v>8</v>
      </c>
      <c r="P38" s="103" t="s">
        <v>290</v>
      </c>
      <c r="Q38" s="1"/>
    </row>
    <row r="39" spans="2:17" x14ac:dyDescent="0.15">
      <c r="B39" s="38"/>
      <c r="C39" s="41" t="s">
        <v>291</v>
      </c>
      <c r="D39" s="42"/>
      <c r="E39" s="42"/>
      <c r="F39" s="42"/>
      <c r="G39" s="42"/>
      <c r="H39" s="42"/>
      <c r="I39" s="42"/>
      <c r="J39" s="53"/>
      <c r="K39" s="53"/>
      <c r="L39" s="53"/>
      <c r="M39" s="42"/>
      <c r="N39" s="43"/>
      <c r="O39" s="44"/>
      <c r="P39" s="45"/>
      <c r="Q39" s="45"/>
    </row>
  </sheetData>
  <autoFilter ref="B12:R39"/>
  <mergeCells count="51">
    <mergeCell ref="B8:M8"/>
    <mergeCell ref="B6:M6"/>
    <mergeCell ref="B5:M5"/>
    <mergeCell ref="B3:M3"/>
    <mergeCell ref="B2:M2"/>
    <mergeCell ref="G14:G15"/>
    <mergeCell ref="H14:H15"/>
    <mergeCell ref="I14:I15"/>
    <mergeCell ref="J14:J15"/>
    <mergeCell ref="K14:K15"/>
    <mergeCell ref="B9:M9"/>
    <mergeCell ref="C37:C38"/>
    <mergeCell ref="H25:H29"/>
    <mergeCell ref="I25:I29"/>
    <mergeCell ref="C34:Q34"/>
    <mergeCell ref="M25:M29"/>
    <mergeCell ref="G25:G29"/>
    <mergeCell ref="C36:Q36"/>
    <mergeCell ref="D11:M11"/>
    <mergeCell ref="C21:Q21"/>
    <mergeCell ref="C22:C23"/>
    <mergeCell ref="L22:L23"/>
    <mergeCell ref="C14:C15"/>
    <mergeCell ref="C13:Q13"/>
    <mergeCell ref="D14:D15"/>
    <mergeCell ref="E14:E15"/>
    <mergeCell ref="P11:P12"/>
    <mergeCell ref="Q11:Q12"/>
    <mergeCell ref="M22:M23"/>
    <mergeCell ref="H22:H23"/>
    <mergeCell ref="I22:I23"/>
    <mergeCell ref="J22:J23"/>
    <mergeCell ref="K22:K23"/>
    <mergeCell ref="L14:L15"/>
    <mergeCell ref="M14:M15"/>
    <mergeCell ref="B11:B12"/>
    <mergeCell ref="C11:C12"/>
    <mergeCell ref="N11:O11"/>
    <mergeCell ref="C17:C19"/>
    <mergeCell ref="C25:C29"/>
    <mergeCell ref="D25:D29"/>
    <mergeCell ref="E25:E29"/>
    <mergeCell ref="F25:F29"/>
    <mergeCell ref="J25:J29"/>
    <mergeCell ref="K25:K29"/>
    <mergeCell ref="L25:L29"/>
    <mergeCell ref="D22:D23"/>
    <mergeCell ref="E22:E23"/>
    <mergeCell ref="F22:F23"/>
    <mergeCell ref="G22:G23"/>
    <mergeCell ref="F14:F15"/>
  </mergeCells>
  <phoneticPr fontId="2"/>
  <hyperlinks>
    <hyperlink ref="N37" r:id="rId1" display="https://nec-it-automation/"/>
    <hyperlink ref="N38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8" scale="51" fitToHeight="0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101"/>
  <sheetViews>
    <sheetView view="pageBreakPreview" zoomScale="70" zoomScaleNormal="85" zoomScaleSheetLayoutView="70" workbookViewId="0">
      <pane xSplit="3" ySplit="12" topLeftCell="D47" activePane="bottomRight" state="frozen"/>
      <selection pane="topRight" activeCell="D1" sqref="D1"/>
      <selection pane="bottomLeft" activeCell="A13" sqref="A13"/>
      <selection pane="bottomRight" activeCell="C53" sqref="C53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49" customWidth="1"/>
    <col min="15" max="15" width="46.625" customWidth="1"/>
    <col min="16" max="16" width="53.75" customWidth="1"/>
    <col min="17" max="17" width="60.625" customWidth="1"/>
  </cols>
  <sheetData>
    <row r="1" spans="2:17" ht="5.0999999999999996" customHeight="1" x14ac:dyDescent="0.15"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</row>
    <row r="2" spans="2:17" x14ac:dyDescent="0.15">
      <c r="B2" s="158" t="s">
        <v>0</v>
      </c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</row>
    <row r="3" spans="2:17" x14ac:dyDescent="0.15">
      <c r="B3" s="146" t="str">
        <f ca="1">REPLACE(LEFT(CELL("filename",$A$1),FIND(".xlsm",CELL("filename",$A$1))-1),1,FIND("[",CELL("filename",$A$1)),)</f>
        <v>RHEL7.x_環境構築マニュアル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</row>
    <row r="4" spans="2:17" ht="5.0999999999999996" customHeight="1" x14ac:dyDescent="0.15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</row>
    <row r="5" spans="2:17" x14ac:dyDescent="0.15">
      <c r="B5" s="156" t="s">
        <v>9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</row>
    <row r="6" spans="2:17" x14ac:dyDescent="0.15">
      <c r="B6" s="146" t="s">
        <v>308</v>
      </c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</row>
    <row r="7" spans="2:17" ht="5.0999999999999996" customHeight="1" x14ac:dyDescent="0.15"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</row>
    <row r="8" spans="2:17" x14ac:dyDescent="0.15">
      <c r="B8" s="156" t="s">
        <v>327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</row>
    <row r="9" spans="2:17" x14ac:dyDescent="0.15">
      <c r="B9" s="146" t="str">
        <f>'astrollインストール手順書(環境構築スクリプト使用)'!B9:M9</f>
        <v>astroll_Ver1.0_yyyymmddhhmmss.tar.gz</v>
      </c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</row>
    <row r="10" spans="2:17" ht="5.0999999999999996" customHeight="1" x14ac:dyDescent="0.15"/>
    <row r="11" spans="2:17" x14ac:dyDescent="0.15">
      <c r="B11" s="129" t="s">
        <v>1</v>
      </c>
      <c r="C11" s="131" t="s">
        <v>2</v>
      </c>
      <c r="D11" s="160" t="s">
        <v>2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33" t="s">
        <v>3</v>
      </c>
      <c r="O11" s="133"/>
      <c r="P11" s="131" t="s">
        <v>4</v>
      </c>
      <c r="Q11" s="144" t="s">
        <v>5</v>
      </c>
    </row>
    <row r="12" spans="2:17" ht="133.5" customHeight="1" x14ac:dyDescent="0.15">
      <c r="B12" s="130"/>
      <c r="C12" s="132"/>
      <c r="D12" s="123" t="s">
        <v>32</v>
      </c>
      <c r="E12" s="123" t="s">
        <v>406</v>
      </c>
      <c r="F12" s="121" t="s">
        <v>28</v>
      </c>
      <c r="G12" s="121" t="s">
        <v>29</v>
      </c>
      <c r="H12" s="123" t="s">
        <v>30</v>
      </c>
      <c r="I12" s="123" t="s">
        <v>31</v>
      </c>
      <c r="J12" s="124" t="s">
        <v>334</v>
      </c>
      <c r="K12" s="124" t="s">
        <v>335</v>
      </c>
      <c r="L12" s="124" t="s">
        <v>336</v>
      </c>
      <c r="M12" s="121" t="s">
        <v>340</v>
      </c>
      <c r="N12" s="39" t="s">
        <v>6</v>
      </c>
      <c r="O12" s="40" t="s">
        <v>7</v>
      </c>
      <c r="P12" s="132"/>
      <c r="Q12" s="145"/>
    </row>
    <row r="13" spans="2:17" ht="30" customHeight="1" x14ac:dyDescent="0.15">
      <c r="B13" s="38"/>
      <c r="C13" s="148" t="s">
        <v>312</v>
      </c>
      <c r="D13" s="149"/>
      <c r="E13" s="149"/>
      <c r="F13" s="149"/>
      <c r="G13" s="149"/>
      <c r="H13" s="149"/>
      <c r="I13" s="149"/>
      <c r="J13" s="149"/>
      <c r="K13" s="149"/>
      <c r="L13" s="149"/>
      <c r="M13" s="149"/>
      <c r="N13" s="149"/>
      <c r="O13" s="149"/>
      <c r="P13" s="149"/>
      <c r="Q13" s="150"/>
    </row>
    <row r="14" spans="2:17" ht="27" x14ac:dyDescent="0.15">
      <c r="B14" s="38">
        <f>MAX(B$11:B12)+1</f>
        <v>1</v>
      </c>
      <c r="C14" s="31" t="s">
        <v>11</v>
      </c>
      <c r="D14" s="30" t="s">
        <v>33</v>
      </c>
      <c r="E14" s="30"/>
      <c r="F14" s="30"/>
      <c r="G14" s="30"/>
      <c r="H14" s="49"/>
      <c r="I14" s="49"/>
      <c r="J14" s="63"/>
      <c r="K14" s="63"/>
      <c r="L14" s="75"/>
      <c r="M14" s="74"/>
      <c r="N14" s="4" t="s">
        <v>12</v>
      </c>
      <c r="O14" s="3" t="s">
        <v>13</v>
      </c>
      <c r="P14" s="35" t="s">
        <v>292</v>
      </c>
      <c r="Q14" s="1"/>
    </row>
    <row r="15" spans="2:17" ht="54" x14ac:dyDescent="0.15">
      <c r="B15" s="38">
        <f>MAX(B$11:B14)+1</f>
        <v>2</v>
      </c>
      <c r="C15" s="137" t="s">
        <v>15</v>
      </c>
      <c r="D15" s="139" t="s">
        <v>33</v>
      </c>
      <c r="E15" s="139"/>
      <c r="F15" s="139"/>
      <c r="G15" s="139"/>
      <c r="H15" s="141"/>
      <c r="I15" s="141"/>
      <c r="J15" s="141"/>
      <c r="K15" s="141"/>
      <c r="L15" s="141"/>
      <c r="M15" s="139"/>
      <c r="N15" s="4" t="s">
        <v>362</v>
      </c>
      <c r="O15" s="3" t="s">
        <v>10</v>
      </c>
      <c r="P15" s="2" t="s">
        <v>34</v>
      </c>
      <c r="Q15" s="1"/>
    </row>
    <row r="16" spans="2:17" ht="121.5" x14ac:dyDescent="0.15">
      <c r="B16" s="38">
        <f>MAX(B$11:B15)+1</f>
        <v>3</v>
      </c>
      <c r="C16" s="138"/>
      <c r="D16" s="140"/>
      <c r="E16" s="140"/>
      <c r="F16" s="140"/>
      <c r="G16" s="140"/>
      <c r="H16" s="142"/>
      <c r="I16" s="142"/>
      <c r="J16" s="142"/>
      <c r="K16" s="142"/>
      <c r="L16" s="142"/>
      <c r="M16" s="140"/>
      <c r="N16" s="4" t="s">
        <v>16</v>
      </c>
      <c r="O16" s="3" t="s">
        <v>10</v>
      </c>
      <c r="P16" s="2" t="s">
        <v>17</v>
      </c>
      <c r="Q16" s="1"/>
    </row>
    <row r="17" spans="2:17" ht="108" x14ac:dyDescent="0.15">
      <c r="B17" s="38">
        <f>MAX(B$11:B16)+1</f>
        <v>4</v>
      </c>
      <c r="C17" s="138"/>
      <c r="D17" s="140"/>
      <c r="E17" s="140"/>
      <c r="F17" s="140"/>
      <c r="G17" s="140"/>
      <c r="H17" s="142"/>
      <c r="I17" s="142"/>
      <c r="J17" s="142"/>
      <c r="K17" s="142"/>
      <c r="L17" s="142"/>
      <c r="M17" s="140"/>
      <c r="N17" s="4" t="s">
        <v>18</v>
      </c>
      <c r="O17" s="3" t="s">
        <v>10</v>
      </c>
      <c r="P17" s="2" t="s">
        <v>19</v>
      </c>
      <c r="Q17" s="1"/>
    </row>
    <row r="18" spans="2:17" ht="94.5" x14ac:dyDescent="0.15">
      <c r="B18" s="38">
        <f>MAX(B$11:B17)+1</f>
        <v>5</v>
      </c>
      <c r="C18" s="138"/>
      <c r="D18" s="140"/>
      <c r="E18" s="140"/>
      <c r="F18" s="140"/>
      <c r="G18" s="140"/>
      <c r="H18" s="142"/>
      <c r="I18" s="142"/>
      <c r="J18" s="142"/>
      <c r="K18" s="142"/>
      <c r="L18" s="142"/>
      <c r="M18" s="140"/>
      <c r="N18" s="4" t="s">
        <v>20</v>
      </c>
      <c r="O18" s="3" t="s">
        <v>10</v>
      </c>
      <c r="P18" s="2" t="s">
        <v>21</v>
      </c>
      <c r="Q18" s="1"/>
    </row>
    <row r="19" spans="2:17" ht="54" x14ac:dyDescent="0.15">
      <c r="B19" s="38">
        <f>MAX(B$11:B18)+1</f>
        <v>6</v>
      </c>
      <c r="C19" s="138"/>
      <c r="D19" s="140"/>
      <c r="E19" s="140"/>
      <c r="F19" s="140"/>
      <c r="G19" s="140"/>
      <c r="H19" s="142"/>
      <c r="I19" s="142"/>
      <c r="J19" s="142"/>
      <c r="K19" s="142"/>
      <c r="L19" s="142"/>
      <c r="M19" s="140"/>
      <c r="N19" s="34" t="s">
        <v>22</v>
      </c>
      <c r="O19" s="33" t="s">
        <v>23</v>
      </c>
      <c r="P19" s="32" t="s">
        <v>24</v>
      </c>
      <c r="Q19" s="31"/>
    </row>
    <row r="20" spans="2:17" ht="40.5" x14ac:dyDescent="0.15">
      <c r="B20" s="38">
        <f>MAX(B$11:B19)+1</f>
        <v>7</v>
      </c>
      <c r="C20" s="35" t="s">
        <v>293</v>
      </c>
      <c r="D20" s="9" t="s">
        <v>33</v>
      </c>
      <c r="E20" s="9"/>
      <c r="F20" s="9"/>
      <c r="G20" s="9"/>
      <c r="H20" s="48"/>
      <c r="I20" s="48"/>
      <c r="J20" s="62"/>
      <c r="K20" s="62"/>
      <c r="L20" s="77"/>
      <c r="M20" s="76"/>
      <c r="N20" s="4" t="s">
        <v>14</v>
      </c>
      <c r="O20" s="3" t="s">
        <v>10</v>
      </c>
      <c r="P20" s="3" t="s">
        <v>294</v>
      </c>
      <c r="Q20" s="1"/>
    </row>
    <row r="21" spans="2:17" ht="40.5" customHeight="1" x14ac:dyDescent="0.15">
      <c r="B21" s="38">
        <f>MAX(B$11:B20)+1</f>
        <v>8</v>
      </c>
      <c r="C21" s="134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1" s="139" t="s">
        <v>33</v>
      </c>
      <c r="E21" s="139"/>
      <c r="F21" s="139"/>
      <c r="G21" s="139"/>
      <c r="H21" s="141"/>
      <c r="I21" s="141"/>
      <c r="J21" s="141"/>
      <c r="K21" s="141"/>
      <c r="L21" s="141"/>
      <c r="M21" s="139"/>
      <c r="N21" s="4" t="s">
        <v>328</v>
      </c>
      <c r="O21" s="3" t="s">
        <v>10</v>
      </c>
      <c r="P21" s="58" t="s">
        <v>35</v>
      </c>
      <c r="Q21" s="1"/>
    </row>
    <row r="22" spans="2:17" ht="121.5" x14ac:dyDescent="0.15">
      <c r="B22" s="38">
        <f>MAX(B$11:B21)+1</f>
        <v>9</v>
      </c>
      <c r="C22" s="136"/>
      <c r="D22" s="143"/>
      <c r="E22" s="140"/>
      <c r="F22" s="143"/>
      <c r="G22" s="143"/>
      <c r="H22" s="162"/>
      <c r="I22" s="162"/>
      <c r="J22" s="162"/>
      <c r="K22" s="162"/>
      <c r="L22" s="162"/>
      <c r="M22" s="143"/>
      <c r="N22" s="4" t="str">
        <f>"tar -zxvf "&amp;$B$9</f>
        <v>tar -zxvf astroll_Ver1.0_yyyymmddhhmmss.tar.gz</v>
      </c>
      <c r="O22" s="3" t="s">
        <v>10</v>
      </c>
      <c r="P22" s="64" t="s">
        <v>464</v>
      </c>
      <c r="Q22" s="1"/>
    </row>
    <row r="23" spans="2:17" ht="162" x14ac:dyDescent="0.15">
      <c r="B23" s="38">
        <f>MAX(B$11:B22)+1</f>
        <v>10</v>
      </c>
      <c r="C23" s="137" t="s">
        <v>222</v>
      </c>
      <c r="D23" s="169"/>
      <c r="E23" s="139" t="s">
        <v>250</v>
      </c>
      <c r="F23" s="172" t="s">
        <v>33</v>
      </c>
      <c r="G23" s="139"/>
      <c r="H23" s="141"/>
      <c r="I23" s="141"/>
      <c r="J23" s="141" t="s">
        <v>338</v>
      </c>
      <c r="K23" s="141" t="s">
        <v>338</v>
      </c>
      <c r="L23" s="141" t="s">
        <v>338</v>
      </c>
      <c r="M23" s="139"/>
      <c r="N23" s="4" t="s">
        <v>473</v>
      </c>
      <c r="O23" s="3" t="s">
        <v>8</v>
      </c>
      <c r="P23" s="2" t="s">
        <v>223</v>
      </c>
      <c r="Q23" s="6" t="s">
        <v>416</v>
      </c>
    </row>
    <row r="24" spans="2:17" ht="40.5" x14ac:dyDescent="0.15">
      <c r="B24" s="38">
        <f>MAX(B$11:B23)+1</f>
        <v>11</v>
      </c>
      <c r="C24" s="138"/>
      <c r="D24" s="170"/>
      <c r="E24" s="140"/>
      <c r="F24" s="173"/>
      <c r="G24" s="140"/>
      <c r="H24" s="142"/>
      <c r="I24" s="142"/>
      <c r="J24" s="142"/>
      <c r="K24" s="142"/>
      <c r="L24" s="142"/>
      <c r="M24" s="140"/>
      <c r="N24" s="4" t="s">
        <v>224</v>
      </c>
      <c r="O24" s="3" t="s">
        <v>8</v>
      </c>
      <c r="P24" s="2" t="s">
        <v>225</v>
      </c>
      <c r="Q24" s="5"/>
    </row>
    <row r="25" spans="2:17" ht="40.5" x14ac:dyDescent="0.15">
      <c r="B25" s="38">
        <f>MAX(B$11:B24)+1</f>
        <v>12</v>
      </c>
      <c r="C25" s="164"/>
      <c r="D25" s="171"/>
      <c r="E25" s="140"/>
      <c r="F25" s="173"/>
      <c r="G25" s="140"/>
      <c r="H25" s="142"/>
      <c r="I25" s="142"/>
      <c r="J25" s="142"/>
      <c r="K25" s="142"/>
      <c r="L25" s="142"/>
      <c r="M25" s="140"/>
      <c r="N25" s="34" t="s">
        <v>474</v>
      </c>
      <c r="O25" s="33" t="s">
        <v>8</v>
      </c>
      <c r="P25" s="84" t="s">
        <v>226</v>
      </c>
      <c r="Q25" s="89"/>
    </row>
    <row r="26" spans="2:17" ht="57" customHeight="1" x14ac:dyDescent="0.15">
      <c r="B26" s="38">
        <f>MAX(B$11:B25)+1</f>
        <v>13</v>
      </c>
      <c r="C26" s="97" t="s">
        <v>357</v>
      </c>
      <c r="D26" s="85" t="s">
        <v>33</v>
      </c>
      <c r="E26" s="85"/>
      <c r="F26" s="95"/>
      <c r="G26" s="85"/>
      <c r="H26" s="83"/>
      <c r="I26" s="83"/>
      <c r="J26" s="83"/>
      <c r="K26" s="94"/>
      <c r="L26" s="83"/>
      <c r="M26" s="85"/>
      <c r="N26" s="86" t="s">
        <v>358</v>
      </c>
      <c r="O26" s="54" t="s">
        <v>411</v>
      </c>
      <c r="P26" s="93" t="s">
        <v>343</v>
      </c>
      <c r="Q26" s="96" t="s">
        <v>356</v>
      </c>
    </row>
    <row r="27" spans="2:17" ht="30" customHeight="1" x14ac:dyDescent="0.15">
      <c r="B27" s="38"/>
      <c r="C27" s="148" t="s">
        <v>313</v>
      </c>
      <c r="D27" s="149"/>
      <c r="E27" s="15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55"/>
    </row>
    <row r="28" spans="2:17" ht="62.25" customHeight="1" x14ac:dyDescent="0.15">
      <c r="B28" s="38">
        <f>MAX(B$11:B27)+1</f>
        <v>14</v>
      </c>
      <c r="C28" s="81"/>
      <c r="D28" s="80"/>
      <c r="E28" s="80"/>
      <c r="F28" s="80"/>
      <c r="G28" s="80"/>
      <c r="H28" s="79"/>
      <c r="I28" s="79"/>
      <c r="J28" s="79"/>
      <c r="K28" s="79"/>
      <c r="L28" s="79"/>
      <c r="M28" s="80"/>
      <c r="N28" s="82" t="s">
        <v>341</v>
      </c>
      <c r="O28" s="86" t="s">
        <v>342</v>
      </c>
      <c r="P28" s="82" t="s">
        <v>343</v>
      </c>
      <c r="Q28" s="82" t="s">
        <v>417</v>
      </c>
    </row>
    <row r="29" spans="2:17" ht="40.5" x14ac:dyDescent="0.15">
      <c r="B29" s="38">
        <f>MAX(B$11:B28)+1</f>
        <v>15</v>
      </c>
      <c r="C29" s="134" t="s">
        <v>37</v>
      </c>
      <c r="D29" s="165"/>
      <c r="E29" s="165" t="s">
        <v>33</v>
      </c>
      <c r="F29" s="165"/>
      <c r="G29" s="165"/>
      <c r="H29" s="167"/>
      <c r="I29" s="167"/>
      <c r="J29" s="167" t="s">
        <v>338</v>
      </c>
      <c r="K29" s="167" t="s">
        <v>338</v>
      </c>
      <c r="L29" s="167" t="s">
        <v>338</v>
      </c>
      <c r="M29" s="165"/>
      <c r="N29" s="4" t="s">
        <v>191</v>
      </c>
      <c r="O29" s="3" t="s">
        <v>8</v>
      </c>
      <c r="P29" s="2" t="s">
        <v>38</v>
      </c>
      <c r="Q29" s="2"/>
    </row>
    <row r="30" spans="2:17" ht="40.5" x14ac:dyDescent="0.15">
      <c r="B30" s="38">
        <f>MAX(B$11:B29)+1</f>
        <v>16</v>
      </c>
      <c r="C30" s="136"/>
      <c r="D30" s="166"/>
      <c r="E30" s="166"/>
      <c r="F30" s="166"/>
      <c r="G30" s="166"/>
      <c r="H30" s="168"/>
      <c r="I30" s="168"/>
      <c r="J30" s="168"/>
      <c r="K30" s="168"/>
      <c r="L30" s="168"/>
      <c r="M30" s="166"/>
      <c r="N30" s="4" t="s">
        <v>303</v>
      </c>
      <c r="O30" s="3" t="s">
        <v>8</v>
      </c>
      <c r="P30" s="2" t="s">
        <v>39</v>
      </c>
      <c r="Q30" s="2"/>
    </row>
    <row r="31" spans="2:17" ht="40.5" x14ac:dyDescent="0.15">
      <c r="B31" s="38">
        <f>MAX(B$11:B30)+1</f>
        <v>17</v>
      </c>
      <c r="C31" s="134" t="s">
        <v>40</v>
      </c>
      <c r="D31" s="165"/>
      <c r="E31" s="165" t="s">
        <v>33</v>
      </c>
      <c r="F31" s="165"/>
      <c r="G31" s="165"/>
      <c r="H31" s="167"/>
      <c r="I31" s="167"/>
      <c r="J31" s="167" t="s">
        <v>338</v>
      </c>
      <c r="K31" s="167" t="s">
        <v>338</v>
      </c>
      <c r="L31" s="167" t="s">
        <v>338</v>
      </c>
      <c r="M31" s="165"/>
      <c r="N31" s="4" t="s">
        <v>307</v>
      </c>
      <c r="O31" s="3" t="s">
        <v>8</v>
      </c>
      <c r="P31" s="2" t="s">
        <v>41</v>
      </c>
      <c r="Q31" s="2"/>
    </row>
    <row r="32" spans="2:17" ht="40.5" x14ac:dyDescent="0.15">
      <c r="B32" s="38">
        <f>MAX(B$11:B31)+1</f>
        <v>18</v>
      </c>
      <c r="C32" s="136"/>
      <c r="D32" s="166"/>
      <c r="E32" s="166"/>
      <c r="F32" s="166"/>
      <c r="G32" s="166"/>
      <c r="H32" s="168"/>
      <c r="I32" s="168"/>
      <c r="J32" s="168"/>
      <c r="K32" s="168"/>
      <c r="L32" s="168"/>
      <c r="M32" s="166"/>
      <c r="N32" s="4" t="s">
        <v>475</v>
      </c>
      <c r="O32" s="3" t="s">
        <v>8</v>
      </c>
      <c r="P32" s="4" t="s">
        <v>286</v>
      </c>
      <c r="Q32" s="1"/>
    </row>
    <row r="33" spans="2:17" ht="54" x14ac:dyDescent="0.15">
      <c r="B33" s="38">
        <f>MAX(B$11:B32)+1</f>
        <v>19</v>
      </c>
      <c r="C33" s="1" t="s">
        <v>190</v>
      </c>
      <c r="D33" s="10"/>
      <c r="E33" s="10" t="s">
        <v>33</v>
      </c>
      <c r="F33" s="10"/>
      <c r="G33" s="10"/>
      <c r="H33" s="50"/>
      <c r="I33" s="50"/>
      <c r="J33" s="61" t="s">
        <v>338</v>
      </c>
      <c r="K33" s="61" t="s">
        <v>338</v>
      </c>
      <c r="L33" s="78" t="s">
        <v>338</v>
      </c>
      <c r="M33" s="10"/>
      <c r="N33" s="4" t="s">
        <v>192</v>
      </c>
      <c r="O33" s="3" t="s">
        <v>8</v>
      </c>
      <c r="P33" s="2" t="s">
        <v>193</v>
      </c>
      <c r="Q33" s="1"/>
    </row>
    <row r="34" spans="2:17" ht="40.5" x14ac:dyDescent="0.15">
      <c r="B34" s="38">
        <f>MAX(B$11:B33)+1</f>
        <v>20</v>
      </c>
      <c r="C34" s="1" t="s">
        <v>189</v>
      </c>
      <c r="D34" s="9"/>
      <c r="E34" s="9" t="s">
        <v>33</v>
      </c>
      <c r="F34" s="9"/>
      <c r="G34" s="9"/>
      <c r="H34" s="48"/>
      <c r="I34" s="48"/>
      <c r="J34" s="66" t="s">
        <v>338</v>
      </c>
      <c r="K34" s="66" t="s">
        <v>338</v>
      </c>
      <c r="L34" s="78" t="s">
        <v>338</v>
      </c>
      <c r="M34" s="76"/>
      <c r="N34" s="4" t="s">
        <v>191</v>
      </c>
      <c r="O34" s="3" t="s">
        <v>8</v>
      </c>
      <c r="P34" s="2" t="s">
        <v>38</v>
      </c>
      <c r="Q34" s="2"/>
    </row>
    <row r="35" spans="2:17" ht="27" x14ac:dyDescent="0.15">
      <c r="B35" s="38">
        <f>MAX(B$11:B34)+1</f>
        <v>21</v>
      </c>
      <c r="C35" s="6" t="s">
        <v>194</v>
      </c>
      <c r="D35" s="10"/>
      <c r="E35" s="10" t="s">
        <v>33</v>
      </c>
      <c r="F35" s="10"/>
      <c r="G35" s="10"/>
      <c r="H35" s="50"/>
      <c r="I35" s="50"/>
      <c r="J35" s="66" t="s">
        <v>338</v>
      </c>
      <c r="K35" s="66" t="s">
        <v>338</v>
      </c>
      <c r="L35" s="78" t="s">
        <v>338</v>
      </c>
      <c r="M35" s="10"/>
      <c r="N35" s="4" t="s">
        <v>300</v>
      </c>
      <c r="O35" s="3" t="s">
        <v>8</v>
      </c>
      <c r="P35" s="2" t="s">
        <v>195</v>
      </c>
      <c r="Q35" s="2"/>
    </row>
    <row r="36" spans="2:17" ht="270" x14ac:dyDescent="0.15">
      <c r="B36" s="38">
        <f>MAX(B$11:B35)+1</f>
        <v>22</v>
      </c>
      <c r="C36" s="6" t="s">
        <v>199</v>
      </c>
      <c r="D36" s="10"/>
      <c r="E36" s="10" t="s">
        <v>33</v>
      </c>
      <c r="F36" s="10"/>
      <c r="G36" s="10"/>
      <c r="H36" s="50"/>
      <c r="I36" s="50"/>
      <c r="J36" s="66" t="s">
        <v>338</v>
      </c>
      <c r="K36" s="66" t="s">
        <v>338</v>
      </c>
      <c r="L36" s="78" t="s">
        <v>338</v>
      </c>
      <c r="M36" s="10"/>
      <c r="N36" s="4" t="s">
        <v>196</v>
      </c>
      <c r="O36" s="3" t="s">
        <v>197</v>
      </c>
      <c r="P36" s="2" t="s">
        <v>202</v>
      </c>
      <c r="Q36" s="2"/>
    </row>
    <row r="37" spans="2:17" ht="67.5" x14ac:dyDescent="0.15">
      <c r="B37" s="38">
        <f>MAX(B$11:B36)+1</f>
        <v>23</v>
      </c>
      <c r="C37" s="6" t="s">
        <v>200</v>
      </c>
      <c r="D37" s="10"/>
      <c r="E37" s="10" t="s">
        <v>33</v>
      </c>
      <c r="F37" s="10"/>
      <c r="G37" s="10"/>
      <c r="H37" s="50"/>
      <c r="I37" s="50"/>
      <c r="J37" s="66" t="s">
        <v>338</v>
      </c>
      <c r="K37" s="66" t="s">
        <v>338</v>
      </c>
      <c r="L37" s="78" t="s">
        <v>338</v>
      </c>
      <c r="M37" s="10"/>
      <c r="N37" s="4" t="s">
        <v>198</v>
      </c>
      <c r="O37" s="37" t="s">
        <v>297</v>
      </c>
      <c r="P37" s="2" t="s">
        <v>201</v>
      </c>
      <c r="Q37" s="2" t="s">
        <v>418</v>
      </c>
    </row>
    <row r="38" spans="2:17" ht="40.5" x14ac:dyDescent="0.15">
      <c r="B38" s="38">
        <f>MAX(B$11:B37)+1</f>
        <v>24</v>
      </c>
      <c r="C38" s="6" t="s">
        <v>203</v>
      </c>
      <c r="D38" s="10"/>
      <c r="E38" s="10" t="s">
        <v>33</v>
      </c>
      <c r="F38" s="10"/>
      <c r="G38" s="10"/>
      <c r="H38" s="50"/>
      <c r="I38" s="50"/>
      <c r="J38" s="66" t="s">
        <v>338</v>
      </c>
      <c r="K38" s="66" t="s">
        <v>338</v>
      </c>
      <c r="L38" s="78" t="s">
        <v>338</v>
      </c>
      <c r="M38" s="10"/>
      <c r="N38" s="4" t="s">
        <v>204</v>
      </c>
      <c r="O38" s="3" t="s">
        <v>8</v>
      </c>
      <c r="P38" s="2" t="s">
        <v>205</v>
      </c>
      <c r="Q38" s="1"/>
    </row>
    <row r="39" spans="2:17" ht="81" x14ac:dyDescent="0.15">
      <c r="B39" s="38">
        <f>MAX(B$11:B38)+1</f>
        <v>25</v>
      </c>
      <c r="C39" s="6" t="s">
        <v>206</v>
      </c>
      <c r="D39" s="10"/>
      <c r="E39" s="10" t="s">
        <v>33</v>
      </c>
      <c r="F39" s="10"/>
      <c r="G39" s="10"/>
      <c r="H39" s="50"/>
      <c r="I39" s="50"/>
      <c r="J39" s="66" t="s">
        <v>338</v>
      </c>
      <c r="K39" s="66" t="s">
        <v>338</v>
      </c>
      <c r="L39" s="78" t="s">
        <v>338</v>
      </c>
      <c r="M39" s="10"/>
      <c r="N39" s="4" t="s">
        <v>301</v>
      </c>
      <c r="O39" s="3" t="s">
        <v>8</v>
      </c>
      <c r="P39" s="2" t="s">
        <v>207</v>
      </c>
      <c r="Q39" s="36" t="s">
        <v>302</v>
      </c>
    </row>
    <row r="40" spans="2:17" ht="30" customHeight="1" x14ac:dyDescent="0.15">
      <c r="B40" s="38"/>
      <c r="C40" s="148" t="s">
        <v>208</v>
      </c>
      <c r="D40" s="149"/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50"/>
    </row>
    <row r="41" spans="2:17" ht="45.75" customHeight="1" x14ac:dyDescent="0.15">
      <c r="B41" s="38">
        <f>MAX(B$11:B39)+1</f>
        <v>26</v>
      </c>
      <c r="C41" s="6" t="s">
        <v>208</v>
      </c>
      <c r="D41" s="10"/>
      <c r="E41" s="10" t="s">
        <v>33</v>
      </c>
      <c r="F41" s="10"/>
      <c r="G41" s="10" t="s">
        <v>33</v>
      </c>
      <c r="H41" s="50"/>
      <c r="I41" s="50"/>
      <c r="J41" s="66" t="s">
        <v>338</v>
      </c>
      <c r="K41" s="66" t="s">
        <v>338</v>
      </c>
      <c r="L41" s="78" t="s">
        <v>338</v>
      </c>
      <c r="M41" s="10"/>
      <c r="N41" s="82" t="s">
        <v>341</v>
      </c>
      <c r="O41" s="86" t="s">
        <v>344</v>
      </c>
      <c r="P41" s="82" t="s">
        <v>8</v>
      </c>
      <c r="Q41" s="82"/>
    </row>
    <row r="42" spans="2:17" ht="40.5" x14ac:dyDescent="0.15">
      <c r="B42" s="38">
        <f>MAX(B$11:B41)+1</f>
        <v>27</v>
      </c>
      <c r="C42" s="1" t="s">
        <v>214</v>
      </c>
      <c r="D42" s="10"/>
      <c r="E42" s="10" t="s">
        <v>33</v>
      </c>
      <c r="F42" s="10"/>
      <c r="G42" s="10" t="s">
        <v>33</v>
      </c>
      <c r="H42" s="50"/>
      <c r="I42" s="50"/>
      <c r="J42" s="66" t="s">
        <v>338</v>
      </c>
      <c r="K42" s="66" t="s">
        <v>338</v>
      </c>
      <c r="L42" s="78" t="s">
        <v>338</v>
      </c>
      <c r="M42" s="10"/>
      <c r="N42" s="4" t="s">
        <v>216</v>
      </c>
      <c r="O42" s="3" t="s">
        <v>8</v>
      </c>
      <c r="P42" s="26" t="s">
        <v>212</v>
      </c>
      <c r="Q42" s="1"/>
    </row>
    <row r="43" spans="2:17" ht="40.5" x14ac:dyDescent="0.15">
      <c r="B43" s="38">
        <f>MAX(B$11:B42)+1</f>
        <v>28</v>
      </c>
      <c r="C43" s="1" t="s">
        <v>215</v>
      </c>
      <c r="D43" s="9"/>
      <c r="E43" s="9" t="s">
        <v>33</v>
      </c>
      <c r="F43" s="9"/>
      <c r="G43" s="10" t="s">
        <v>33</v>
      </c>
      <c r="H43" s="48"/>
      <c r="I43" s="48"/>
      <c r="J43" s="66" t="s">
        <v>338</v>
      </c>
      <c r="K43" s="66" t="s">
        <v>338</v>
      </c>
      <c r="L43" s="78" t="s">
        <v>338</v>
      </c>
      <c r="M43" s="76"/>
      <c r="N43" s="4" t="s">
        <v>304</v>
      </c>
      <c r="O43" s="3" t="s">
        <v>8</v>
      </c>
      <c r="P43" s="26" t="s">
        <v>213</v>
      </c>
      <c r="Q43" s="26"/>
    </row>
    <row r="44" spans="2:17" ht="30" customHeight="1" x14ac:dyDescent="0.15">
      <c r="B44" s="38"/>
      <c r="C44" s="148" t="s">
        <v>314</v>
      </c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50"/>
    </row>
    <row r="45" spans="2:17" ht="213" customHeight="1" x14ac:dyDescent="0.15">
      <c r="B45" s="38">
        <f>MAX(B$11:B43)+1</f>
        <v>29</v>
      </c>
      <c r="C45" s="6" t="s">
        <v>210</v>
      </c>
      <c r="D45" s="10"/>
      <c r="E45" s="10" t="s">
        <v>33</v>
      </c>
      <c r="F45" s="10"/>
      <c r="G45" s="10"/>
      <c r="H45" s="50"/>
      <c r="I45" s="50"/>
      <c r="J45" s="66" t="s">
        <v>338</v>
      </c>
      <c r="K45" s="66" t="s">
        <v>338</v>
      </c>
      <c r="L45" s="78" t="s">
        <v>338</v>
      </c>
      <c r="M45" s="10"/>
      <c r="N45" s="82" t="s">
        <v>341</v>
      </c>
      <c r="O45" s="86" t="s">
        <v>345</v>
      </c>
      <c r="P45" s="82" t="s">
        <v>8</v>
      </c>
      <c r="Q45" s="87" t="s">
        <v>346</v>
      </c>
    </row>
    <row r="46" spans="2:17" ht="289.5" customHeight="1" x14ac:dyDescent="0.15">
      <c r="B46" s="38">
        <f>MAX(B$11:B45)+1</f>
        <v>30</v>
      </c>
      <c r="C46" s="89" t="s">
        <v>211</v>
      </c>
      <c r="D46" s="89"/>
      <c r="E46" s="89" t="s">
        <v>250</v>
      </c>
      <c r="F46" s="89"/>
      <c r="G46" s="89"/>
      <c r="H46" s="90"/>
      <c r="I46" s="90"/>
      <c r="J46" s="90" t="s">
        <v>338</v>
      </c>
      <c r="K46" s="90" t="s">
        <v>338</v>
      </c>
      <c r="L46" s="90" t="s">
        <v>338</v>
      </c>
      <c r="M46" s="89"/>
      <c r="N46" s="82" t="s">
        <v>353</v>
      </c>
      <c r="O46" s="3" t="s">
        <v>354</v>
      </c>
      <c r="P46" s="82" t="s">
        <v>8</v>
      </c>
      <c r="Q46" s="88" t="s">
        <v>355</v>
      </c>
    </row>
    <row r="47" spans="2:17" ht="74.25" customHeight="1" x14ac:dyDescent="0.15">
      <c r="B47" s="38">
        <f>MAX(B$11:B46)+1</f>
        <v>31</v>
      </c>
      <c r="C47" s="90" t="s">
        <v>438</v>
      </c>
      <c r="D47" s="89"/>
      <c r="E47" s="10" t="s">
        <v>250</v>
      </c>
      <c r="F47" s="89"/>
      <c r="G47" s="89"/>
      <c r="H47" s="90"/>
      <c r="I47" s="90"/>
      <c r="J47" s="126" t="s">
        <v>439</v>
      </c>
      <c r="K47" s="126" t="s">
        <v>439</v>
      </c>
      <c r="L47" s="126" t="s">
        <v>439</v>
      </c>
      <c r="M47" s="89"/>
      <c r="N47" s="127" t="s">
        <v>440</v>
      </c>
      <c r="O47" s="127" t="s">
        <v>441</v>
      </c>
      <c r="P47" s="127" t="s">
        <v>442</v>
      </c>
      <c r="Q47" s="88"/>
    </row>
    <row r="48" spans="2:17" ht="74.25" customHeight="1" x14ac:dyDescent="0.15">
      <c r="B48" s="38">
        <f>MAX(B$11:B47)+1</f>
        <v>32</v>
      </c>
      <c r="C48" s="90" t="s">
        <v>443</v>
      </c>
      <c r="D48" s="89"/>
      <c r="E48" s="10" t="s">
        <v>444</v>
      </c>
      <c r="F48" s="89"/>
      <c r="G48" s="89"/>
      <c r="H48" s="90"/>
      <c r="I48" s="90"/>
      <c r="J48" s="126" t="s">
        <v>444</v>
      </c>
      <c r="K48" s="126" t="s">
        <v>444</v>
      </c>
      <c r="L48" s="126" t="s">
        <v>444</v>
      </c>
      <c r="M48" s="89"/>
      <c r="N48" s="127" t="s">
        <v>445</v>
      </c>
      <c r="O48" s="3" t="s">
        <v>446</v>
      </c>
      <c r="P48" s="127" t="s">
        <v>447</v>
      </c>
      <c r="Q48" s="88"/>
    </row>
    <row r="49" spans="2:17" ht="74.25" customHeight="1" x14ac:dyDescent="0.15">
      <c r="B49" s="38">
        <f>MAX(B$11:B48)+1</f>
        <v>33</v>
      </c>
      <c r="C49" s="90" t="s">
        <v>448</v>
      </c>
      <c r="D49" s="89"/>
      <c r="E49" s="10" t="s">
        <v>444</v>
      </c>
      <c r="F49" s="89"/>
      <c r="G49" s="89"/>
      <c r="H49" s="90"/>
      <c r="I49" s="90"/>
      <c r="J49" s="126" t="s">
        <v>444</v>
      </c>
      <c r="K49" s="126" t="s">
        <v>444</v>
      </c>
      <c r="L49" s="126" t="s">
        <v>444</v>
      </c>
      <c r="M49" s="89"/>
      <c r="N49" s="127" t="s">
        <v>449</v>
      </c>
      <c r="O49" s="127" t="s">
        <v>447</v>
      </c>
      <c r="P49" s="127" t="s">
        <v>447</v>
      </c>
      <c r="Q49" s="88"/>
    </row>
    <row r="50" spans="2:17" ht="56.25" customHeight="1" x14ac:dyDescent="0.15">
      <c r="B50" s="38">
        <f>MAX(B$11:B49)+1</f>
        <v>34</v>
      </c>
      <c r="C50" s="90" t="s">
        <v>450</v>
      </c>
      <c r="D50" s="89"/>
      <c r="E50" s="10" t="s">
        <v>444</v>
      </c>
      <c r="F50" s="89"/>
      <c r="G50" s="89"/>
      <c r="H50" s="90"/>
      <c r="I50" s="90"/>
      <c r="J50" s="126" t="s">
        <v>444</v>
      </c>
      <c r="K50" s="126" t="s">
        <v>444</v>
      </c>
      <c r="L50" s="126" t="s">
        <v>444</v>
      </c>
      <c r="M50" s="89"/>
      <c r="N50" s="128" t="s">
        <v>451</v>
      </c>
      <c r="O50" s="127" t="s">
        <v>447</v>
      </c>
      <c r="P50" s="127" t="s">
        <v>452</v>
      </c>
      <c r="Q50" s="88"/>
    </row>
    <row r="51" spans="2:17" ht="56.25" customHeight="1" x14ac:dyDescent="0.15">
      <c r="B51" s="38">
        <f>MAX(B$11:B50)+1</f>
        <v>35</v>
      </c>
      <c r="C51" s="90" t="s">
        <v>453</v>
      </c>
      <c r="D51" s="89"/>
      <c r="E51" s="10" t="s">
        <v>444</v>
      </c>
      <c r="F51" s="89"/>
      <c r="G51" s="89"/>
      <c r="H51" s="90"/>
      <c r="I51" s="90"/>
      <c r="J51" s="126" t="s">
        <v>444</v>
      </c>
      <c r="K51" s="126" t="s">
        <v>444</v>
      </c>
      <c r="L51" s="126" t="s">
        <v>444</v>
      </c>
      <c r="M51" s="89"/>
      <c r="N51" s="127" t="s">
        <v>454</v>
      </c>
      <c r="O51" s="3" t="s">
        <v>455</v>
      </c>
      <c r="P51" s="127" t="s">
        <v>447</v>
      </c>
      <c r="Q51" s="88"/>
    </row>
    <row r="52" spans="2:17" ht="56.25" customHeight="1" x14ac:dyDescent="0.15">
      <c r="B52" s="38">
        <f>MAX(B$11:B51)+1</f>
        <v>36</v>
      </c>
      <c r="C52" s="90" t="s">
        <v>456</v>
      </c>
      <c r="D52" s="89"/>
      <c r="E52" s="10" t="s">
        <v>444</v>
      </c>
      <c r="F52" s="89"/>
      <c r="G52" s="89"/>
      <c r="H52" s="90"/>
      <c r="I52" s="90"/>
      <c r="J52" s="126" t="s">
        <v>444</v>
      </c>
      <c r="K52" s="126" t="s">
        <v>444</v>
      </c>
      <c r="L52" s="126" t="s">
        <v>444</v>
      </c>
      <c r="M52" s="89"/>
      <c r="N52" s="128" t="s">
        <v>457</v>
      </c>
      <c r="O52" s="127" t="s">
        <v>447</v>
      </c>
      <c r="P52" s="127" t="s">
        <v>447</v>
      </c>
      <c r="Q52" s="88"/>
    </row>
    <row r="53" spans="2:17" ht="42" customHeight="1" x14ac:dyDescent="0.15">
      <c r="B53" s="38">
        <f>MAX(B$11:B52)+1</f>
        <v>37</v>
      </c>
      <c r="C53" s="5" t="s">
        <v>209</v>
      </c>
      <c r="D53" s="9"/>
      <c r="E53" s="10" t="s">
        <v>33</v>
      </c>
      <c r="F53" s="9"/>
      <c r="G53" s="9"/>
      <c r="H53" s="48"/>
      <c r="I53" s="48"/>
      <c r="J53" s="65" t="s">
        <v>338</v>
      </c>
      <c r="K53" s="65" t="s">
        <v>338</v>
      </c>
      <c r="L53" s="77" t="s">
        <v>338</v>
      </c>
      <c r="M53" s="76"/>
      <c r="N53" s="82" t="s">
        <v>341</v>
      </c>
      <c r="O53" s="86" t="s">
        <v>365</v>
      </c>
      <c r="P53" s="82" t="s">
        <v>347</v>
      </c>
      <c r="Q53" s="82"/>
    </row>
    <row r="54" spans="2:17" ht="30" customHeight="1" x14ac:dyDescent="0.15">
      <c r="B54" s="38"/>
      <c r="C54" s="148" t="s">
        <v>315</v>
      </c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50"/>
    </row>
    <row r="55" spans="2:17" ht="40.5" x14ac:dyDescent="0.15">
      <c r="B55" s="38">
        <f>MAX(B$11:B53)+1</f>
        <v>38</v>
      </c>
      <c r="C55" s="32" t="s">
        <v>295</v>
      </c>
      <c r="D55" s="30"/>
      <c r="E55" s="30"/>
      <c r="F55" s="30" t="s">
        <v>33</v>
      </c>
      <c r="G55" s="30"/>
      <c r="H55" s="49"/>
      <c r="I55" s="49"/>
      <c r="J55" s="63"/>
      <c r="K55" s="63"/>
      <c r="L55" s="75"/>
      <c r="M55" s="74"/>
      <c r="N55" s="4" t="s">
        <v>476</v>
      </c>
      <c r="O55" s="3" t="s">
        <v>8</v>
      </c>
      <c r="P55" s="35" t="s">
        <v>296</v>
      </c>
      <c r="Q55" s="1"/>
    </row>
    <row r="56" spans="2:17" ht="81" x14ac:dyDescent="0.15">
      <c r="B56" s="38">
        <f>MAX(B$11:B55)+1</f>
        <v>39</v>
      </c>
      <c r="C56" s="1" t="s">
        <v>25</v>
      </c>
      <c r="D56" s="9"/>
      <c r="E56" s="9"/>
      <c r="F56" s="10" t="s">
        <v>33</v>
      </c>
      <c r="G56" s="9"/>
      <c r="H56" s="48"/>
      <c r="I56" s="48"/>
      <c r="J56" s="62"/>
      <c r="K56" s="62"/>
      <c r="L56" s="77"/>
      <c r="M56" s="10"/>
      <c r="N56" s="4" t="s">
        <v>26</v>
      </c>
      <c r="O56" s="3" t="s">
        <v>27</v>
      </c>
      <c r="P56" s="2" t="s">
        <v>285</v>
      </c>
      <c r="Q56" s="2" t="s">
        <v>36</v>
      </c>
    </row>
    <row r="57" spans="2:17" ht="39" customHeight="1" x14ac:dyDescent="0.15">
      <c r="B57" s="38">
        <f>MAX(B$11:B56)+1</f>
        <v>40</v>
      </c>
      <c r="C57" s="1" t="s">
        <v>359</v>
      </c>
      <c r="D57" s="92"/>
      <c r="E57" s="92"/>
      <c r="F57" s="92" t="s">
        <v>33</v>
      </c>
      <c r="G57" s="92"/>
      <c r="H57" s="91"/>
      <c r="I57" s="91"/>
      <c r="J57" s="91"/>
      <c r="K57" s="91"/>
      <c r="L57" s="91"/>
      <c r="M57" s="10"/>
      <c r="N57" s="93" t="s">
        <v>341</v>
      </c>
      <c r="O57" s="93" t="s">
        <v>361</v>
      </c>
      <c r="P57" s="93" t="s">
        <v>8</v>
      </c>
      <c r="Q57" s="93"/>
    </row>
    <row r="58" spans="2:17" ht="47.25" customHeight="1" x14ac:dyDescent="0.15">
      <c r="B58" s="38">
        <f>MAX(B$11:B57)+1</f>
        <v>41</v>
      </c>
      <c r="C58" s="5" t="s">
        <v>217</v>
      </c>
      <c r="D58" s="9"/>
      <c r="E58" s="10"/>
      <c r="F58" s="9" t="s">
        <v>33</v>
      </c>
      <c r="G58" s="9"/>
      <c r="H58" s="48"/>
      <c r="I58" s="48"/>
      <c r="J58" s="62"/>
      <c r="K58" s="62"/>
      <c r="L58" s="77"/>
      <c r="M58" s="76"/>
      <c r="N58" s="82" t="s">
        <v>341</v>
      </c>
      <c r="O58" s="86" t="s">
        <v>360</v>
      </c>
      <c r="P58" s="82" t="s">
        <v>8</v>
      </c>
      <c r="Q58" s="82"/>
    </row>
    <row r="59" spans="2:17" ht="47.25" customHeight="1" x14ac:dyDescent="0.15">
      <c r="B59" s="38">
        <f>MAX(B$11:B58)+1</f>
        <v>42</v>
      </c>
      <c r="C59" s="5" t="s">
        <v>218</v>
      </c>
      <c r="D59" s="9"/>
      <c r="E59" s="10"/>
      <c r="F59" s="9" t="s">
        <v>33</v>
      </c>
      <c r="G59" s="9"/>
      <c r="H59" s="48"/>
      <c r="I59" s="48"/>
      <c r="J59" s="62"/>
      <c r="K59" s="62"/>
      <c r="L59" s="77"/>
      <c r="M59" s="76"/>
      <c r="N59" s="82" t="s">
        <v>341</v>
      </c>
      <c r="O59" s="86" t="s">
        <v>348</v>
      </c>
      <c r="P59" s="82" t="s">
        <v>8</v>
      </c>
      <c r="Q59" s="82"/>
    </row>
    <row r="60" spans="2:17" ht="48" customHeight="1" x14ac:dyDescent="0.15">
      <c r="B60" s="38">
        <f>MAX(B$11:B59)+1</f>
        <v>43</v>
      </c>
      <c r="C60" s="137" t="s">
        <v>219</v>
      </c>
      <c r="D60" s="165"/>
      <c r="E60" s="165"/>
      <c r="F60" s="165" t="s">
        <v>33</v>
      </c>
      <c r="G60" s="165"/>
      <c r="H60" s="167"/>
      <c r="I60" s="167"/>
      <c r="J60" s="167"/>
      <c r="K60" s="167"/>
      <c r="L60" s="167"/>
      <c r="M60" s="165"/>
      <c r="N60" s="82" t="s">
        <v>341</v>
      </c>
      <c r="O60" s="86" t="s">
        <v>349</v>
      </c>
      <c r="P60" s="82" t="s">
        <v>8</v>
      </c>
      <c r="Q60" s="82"/>
    </row>
    <row r="61" spans="2:17" ht="54" x14ac:dyDescent="0.15">
      <c r="B61" s="38">
        <f>MAX(B$11:B60)+1</f>
        <v>44</v>
      </c>
      <c r="C61" s="164"/>
      <c r="D61" s="166"/>
      <c r="E61" s="166"/>
      <c r="F61" s="166"/>
      <c r="G61" s="166"/>
      <c r="H61" s="168"/>
      <c r="I61" s="168"/>
      <c r="J61" s="168"/>
      <c r="K61" s="168"/>
      <c r="L61" s="168"/>
      <c r="M61" s="166"/>
      <c r="N61" s="4" t="s">
        <v>477</v>
      </c>
      <c r="O61" s="3" t="s">
        <v>8</v>
      </c>
      <c r="P61" s="2" t="s">
        <v>220</v>
      </c>
      <c r="Q61" s="1"/>
    </row>
    <row r="62" spans="2:17" ht="47.25" customHeight="1" x14ac:dyDescent="0.15">
      <c r="B62" s="38">
        <f>MAX(B$11:B61)+1</f>
        <v>45</v>
      </c>
      <c r="C62" s="5" t="s">
        <v>221</v>
      </c>
      <c r="D62" s="9"/>
      <c r="E62" s="9"/>
      <c r="F62" s="9" t="s">
        <v>33</v>
      </c>
      <c r="G62" s="9"/>
      <c r="H62" s="48"/>
      <c r="I62" s="48"/>
      <c r="J62" s="62"/>
      <c r="K62" s="62"/>
      <c r="L62" s="77"/>
      <c r="M62" s="76"/>
      <c r="N62" s="82" t="s">
        <v>341</v>
      </c>
      <c r="O62" s="86" t="s">
        <v>350</v>
      </c>
      <c r="P62" s="82" t="s">
        <v>8</v>
      </c>
      <c r="Q62" s="82"/>
    </row>
    <row r="63" spans="2:17" ht="40.5" x14ac:dyDescent="0.15">
      <c r="B63" s="38">
        <f>MAX(B$11:B62)+1</f>
        <v>46</v>
      </c>
      <c r="C63" s="137" t="s">
        <v>227</v>
      </c>
      <c r="D63" s="139"/>
      <c r="E63" s="139"/>
      <c r="F63" s="139" t="s">
        <v>33</v>
      </c>
      <c r="G63" s="139"/>
      <c r="H63" s="141"/>
      <c r="I63" s="141"/>
      <c r="J63" s="141"/>
      <c r="K63" s="141"/>
      <c r="L63" s="141"/>
      <c r="M63" s="139"/>
      <c r="N63" s="4" t="s">
        <v>228</v>
      </c>
      <c r="O63" s="3" t="s">
        <v>8</v>
      </c>
      <c r="P63" s="2" t="s">
        <v>229</v>
      </c>
      <c r="Q63" s="2"/>
    </row>
    <row r="64" spans="2:17" ht="40.5" x14ac:dyDescent="0.15">
      <c r="B64" s="38">
        <f>MAX(B$11:B63)+1</f>
        <v>47</v>
      </c>
      <c r="C64" s="164"/>
      <c r="D64" s="143"/>
      <c r="E64" s="143"/>
      <c r="F64" s="143"/>
      <c r="G64" s="143"/>
      <c r="H64" s="162"/>
      <c r="I64" s="162"/>
      <c r="J64" s="162"/>
      <c r="K64" s="162"/>
      <c r="L64" s="162"/>
      <c r="M64" s="143"/>
      <c r="N64" s="4" t="s">
        <v>478</v>
      </c>
      <c r="O64" s="3" t="s">
        <v>8</v>
      </c>
      <c r="P64" s="2" t="s">
        <v>230</v>
      </c>
      <c r="Q64" s="1"/>
    </row>
    <row r="65" spans="2:17" ht="30" customHeight="1" x14ac:dyDescent="0.15">
      <c r="B65" s="38"/>
      <c r="C65" s="148" t="s">
        <v>231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50"/>
    </row>
    <row r="66" spans="2:17" ht="117.75" customHeight="1" x14ac:dyDescent="0.15">
      <c r="B66" s="38">
        <f>MAX(B$11:B64)+1</f>
        <v>48</v>
      </c>
      <c r="C66" s="2" t="s">
        <v>231</v>
      </c>
      <c r="D66" s="10"/>
      <c r="E66" s="10"/>
      <c r="F66" s="10"/>
      <c r="G66" s="10" t="s">
        <v>33</v>
      </c>
      <c r="H66" s="50"/>
      <c r="I66" s="50"/>
      <c r="J66" s="61"/>
      <c r="K66" s="61"/>
      <c r="L66" s="78"/>
      <c r="M66" s="10"/>
      <c r="N66" s="82" t="s">
        <v>341</v>
      </c>
      <c r="O66" s="86" t="s">
        <v>351</v>
      </c>
      <c r="P66" s="82" t="s">
        <v>8</v>
      </c>
      <c r="Q66" s="82"/>
    </row>
    <row r="67" spans="2:17" ht="94.5" x14ac:dyDescent="0.15">
      <c r="B67" s="38">
        <f>MAX(B$11:B66)+1</f>
        <v>49</v>
      </c>
      <c r="C67" s="137" t="s">
        <v>233</v>
      </c>
      <c r="D67" s="139"/>
      <c r="E67" s="139"/>
      <c r="F67" s="139"/>
      <c r="G67" s="139" t="s">
        <v>232</v>
      </c>
      <c r="H67" s="141"/>
      <c r="I67" s="141"/>
      <c r="J67" s="141"/>
      <c r="K67" s="141"/>
      <c r="L67" s="141"/>
      <c r="M67" s="139"/>
      <c r="N67" s="4" t="s">
        <v>479</v>
      </c>
      <c r="O67" s="3" t="s">
        <v>8</v>
      </c>
      <c r="P67" s="26" t="s">
        <v>234</v>
      </c>
      <c r="Q67" s="26"/>
    </row>
    <row r="68" spans="2:17" ht="40.5" x14ac:dyDescent="0.15">
      <c r="B68" s="38">
        <f>MAX(B$11:B67)+1</f>
        <v>50</v>
      </c>
      <c r="C68" s="138"/>
      <c r="D68" s="140"/>
      <c r="E68" s="140"/>
      <c r="F68" s="140"/>
      <c r="G68" s="140"/>
      <c r="H68" s="142"/>
      <c r="I68" s="142"/>
      <c r="J68" s="142"/>
      <c r="K68" s="142"/>
      <c r="L68" s="142"/>
      <c r="M68" s="140"/>
      <c r="N68" s="4" t="s">
        <v>235</v>
      </c>
      <c r="O68" s="3" t="s">
        <v>8</v>
      </c>
      <c r="P68" s="26" t="s">
        <v>236</v>
      </c>
      <c r="Q68" s="1"/>
    </row>
    <row r="69" spans="2:17" ht="40.5" x14ac:dyDescent="0.15">
      <c r="B69" s="38">
        <f>MAX(B$11:B68)+1</f>
        <v>51</v>
      </c>
      <c r="C69" s="164"/>
      <c r="D69" s="143"/>
      <c r="E69" s="143"/>
      <c r="F69" s="143"/>
      <c r="G69" s="143"/>
      <c r="H69" s="162"/>
      <c r="I69" s="162"/>
      <c r="J69" s="162"/>
      <c r="K69" s="162"/>
      <c r="L69" s="162"/>
      <c r="M69" s="143"/>
      <c r="N69" s="4" t="s">
        <v>480</v>
      </c>
      <c r="O69" s="3" t="s">
        <v>8</v>
      </c>
      <c r="P69" s="26" t="s">
        <v>237</v>
      </c>
      <c r="Q69" s="1"/>
    </row>
    <row r="70" spans="2:17" ht="40.5" x14ac:dyDescent="0.15">
      <c r="B70" s="38">
        <f>MAX(B$11:B69)+1</f>
        <v>52</v>
      </c>
      <c r="C70" s="7" t="s">
        <v>273</v>
      </c>
      <c r="D70" s="8"/>
      <c r="E70" s="8"/>
      <c r="F70" s="8"/>
      <c r="G70" s="8" t="s">
        <v>232</v>
      </c>
      <c r="H70" s="49"/>
      <c r="I70" s="49"/>
      <c r="J70" s="55"/>
      <c r="K70" s="55"/>
      <c r="L70" s="55"/>
      <c r="M70" s="74"/>
      <c r="N70" s="4" t="s">
        <v>481</v>
      </c>
      <c r="O70" s="3" t="s">
        <v>8</v>
      </c>
      <c r="P70" s="26" t="s">
        <v>274</v>
      </c>
      <c r="Q70" s="1"/>
    </row>
    <row r="71" spans="2:17" ht="148.5" x14ac:dyDescent="0.15">
      <c r="B71" s="38">
        <f>MAX(B$11:B70)+1</f>
        <v>53</v>
      </c>
      <c r="C71" s="137" t="s">
        <v>238</v>
      </c>
      <c r="D71" s="139"/>
      <c r="E71" s="139"/>
      <c r="F71" s="139"/>
      <c r="G71" s="139" t="s">
        <v>33</v>
      </c>
      <c r="H71" s="141"/>
      <c r="I71" s="141"/>
      <c r="J71" s="163"/>
      <c r="K71" s="141"/>
      <c r="L71" s="163"/>
      <c r="M71" s="139"/>
      <c r="N71" s="4" t="s">
        <v>482</v>
      </c>
      <c r="O71" s="3" t="s">
        <v>8</v>
      </c>
      <c r="P71" s="26" t="s">
        <v>239</v>
      </c>
      <c r="Q71" s="26"/>
    </row>
    <row r="72" spans="2:17" ht="40.5" x14ac:dyDescent="0.15">
      <c r="B72" s="38">
        <f>MAX(B$11:B71)+1</f>
        <v>54</v>
      </c>
      <c r="C72" s="138"/>
      <c r="D72" s="140"/>
      <c r="E72" s="140"/>
      <c r="F72" s="140"/>
      <c r="G72" s="140"/>
      <c r="H72" s="142"/>
      <c r="I72" s="142"/>
      <c r="J72" s="163"/>
      <c r="K72" s="142"/>
      <c r="L72" s="163"/>
      <c r="M72" s="140"/>
      <c r="N72" s="4" t="s">
        <v>240</v>
      </c>
      <c r="O72" s="3" t="s">
        <v>8</v>
      </c>
      <c r="P72" s="26" t="s">
        <v>241</v>
      </c>
      <c r="Q72" s="1"/>
    </row>
    <row r="73" spans="2:17" ht="40.5" x14ac:dyDescent="0.15">
      <c r="B73" s="38">
        <f>MAX(B$11:B72)+1</f>
        <v>55</v>
      </c>
      <c r="C73" s="164"/>
      <c r="D73" s="143"/>
      <c r="E73" s="143"/>
      <c r="F73" s="143"/>
      <c r="G73" s="143"/>
      <c r="H73" s="162"/>
      <c r="I73" s="162"/>
      <c r="J73" s="163"/>
      <c r="K73" s="162"/>
      <c r="L73" s="163"/>
      <c r="M73" s="143"/>
      <c r="N73" s="4" t="s">
        <v>483</v>
      </c>
      <c r="O73" s="3" t="s">
        <v>8</v>
      </c>
      <c r="P73" s="26" t="s">
        <v>242</v>
      </c>
      <c r="Q73" s="1"/>
    </row>
    <row r="74" spans="2:17" ht="121.5" x14ac:dyDescent="0.15">
      <c r="B74" s="38">
        <f>MAX(B$11:B73)+1</f>
        <v>56</v>
      </c>
      <c r="C74" s="137" t="s">
        <v>251</v>
      </c>
      <c r="D74" s="139"/>
      <c r="E74" s="139"/>
      <c r="F74" s="139"/>
      <c r="G74" s="139" t="s">
        <v>33</v>
      </c>
      <c r="H74" s="141"/>
      <c r="I74" s="141"/>
      <c r="J74" s="141"/>
      <c r="K74" s="141"/>
      <c r="L74" s="141"/>
      <c r="M74" s="139"/>
      <c r="N74" s="4" t="s">
        <v>484</v>
      </c>
      <c r="O74" s="3" t="s">
        <v>8</v>
      </c>
      <c r="P74" s="26" t="s">
        <v>252</v>
      </c>
      <c r="Q74" s="26"/>
    </row>
    <row r="75" spans="2:17" ht="40.5" x14ac:dyDescent="0.15">
      <c r="B75" s="38">
        <f>MAX(B$11:B74)+1</f>
        <v>57</v>
      </c>
      <c r="C75" s="138"/>
      <c r="D75" s="140"/>
      <c r="E75" s="140"/>
      <c r="F75" s="140"/>
      <c r="G75" s="140"/>
      <c r="H75" s="142"/>
      <c r="I75" s="142"/>
      <c r="J75" s="142"/>
      <c r="K75" s="142"/>
      <c r="L75" s="142"/>
      <c r="M75" s="140"/>
      <c r="N75" s="4" t="s">
        <v>253</v>
      </c>
      <c r="O75" s="3" t="s">
        <v>8</v>
      </c>
      <c r="P75" s="26" t="s">
        <v>254</v>
      </c>
      <c r="Q75" s="1"/>
    </row>
    <row r="76" spans="2:17" ht="40.5" x14ac:dyDescent="0.15">
      <c r="B76" s="38">
        <f>MAX(B$11:B75)+1</f>
        <v>58</v>
      </c>
      <c r="C76" s="164"/>
      <c r="D76" s="143"/>
      <c r="E76" s="143"/>
      <c r="F76" s="143"/>
      <c r="G76" s="143"/>
      <c r="H76" s="162"/>
      <c r="I76" s="162"/>
      <c r="J76" s="142"/>
      <c r="K76" s="142"/>
      <c r="L76" s="142"/>
      <c r="M76" s="143"/>
      <c r="N76" s="4" t="s">
        <v>485</v>
      </c>
      <c r="O76" s="3" t="s">
        <v>8</v>
      </c>
      <c r="P76" s="26" t="s">
        <v>255</v>
      </c>
      <c r="Q76" s="1"/>
    </row>
    <row r="77" spans="2:17" ht="40.5" x14ac:dyDescent="0.15">
      <c r="B77" s="38">
        <f>MAX(B$11:B76)+1</f>
        <v>59</v>
      </c>
      <c r="C77" s="134" t="s">
        <v>256</v>
      </c>
      <c r="D77" s="165"/>
      <c r="E77" s="165"/>
      <c r="F77" s="165"/>
      <c r="G77" s="165" t="s">
        <v>250</v>
      </c>
      <c r="H77" s="167"/>
      <c r="I77" s="167"/>
      <c r="J77" s="163"/>
      <c r="K77" s="163"/>
      <c r="L77" s="163"/>
      <c r="M77" s="165"/>
      <c r="N77" s="4" t="s">
        <v>257</v>
      </c>
      <c r="O77" s="3" t="s">
        <v>8</v>
      </c>
      <c r="P77" s="26" t="s">
        <v>258</v>
      </c>
      <c r="Q77" s="1"/>
    </row>
    <row r="78" spans="2:17" ht="108" x14ac:dyDescent="0.15">
      <c r="B78" s="38">
        <f>MAX(B$11:B77)+1</f>
        <v>60</v>
      </c>
      <c r="C78" s="136"/>
      <c r="D78" s="166"/>
      <c r="E78" s="166"/>
      <c r="F78" s="166"/>
      <c r="G78" s="166"/>
      <c r="H78" s="168"/>
      <c r="I78" s="168"/>
      <c r="J78" s="163"/>
      <c r="K78" s="163"/>
      <c r="L78" s="163"/>
      <c r="M78" s="166"/>
      <c r="N78" s="4" t="s">
        <v>259</v>
      </c>
      <c r="O78" s="3" t="s">
        <v>260</v>
      </c>
      <c r="P78" s="26" t="s">
        <v>249</v>
      </c>
      <c r="Q78" s="26" t="s">
        <v>261</v>
      </c>
    </row>
    <row r="79" spans="2:17" ht="40.5" x14ac:dyDescent="0.15">
      <c r="B79" s="38">
        <f>MAX(B$11:B78)+1</f>
        <v>61</v>
      </c>
      <c r="C79" s="134" t="s">
        <v>243</v>
      </c>
      <c r="D79" s="165"/>
      <c r="E79" s="165"/>
      <c r="F79" s="165"/>
      <c r="G79" s="165" t="s">
        <v>250</v>
      </c>
      <c r="H79" s="167"/>
      <c r="I79" s="167"/>
      <c r="J79" s="167"/>
      <c r="K79" s="167"/>
      <c r="L79" s="167"/>
      <c r="M79" s="165"/>
      <c r="N79" s="4" t="s">
        <v>244</v>
      </c>
      <c r="O79" s="3" t="s">
        <v>8</v>
      </c>
      <c r="P79" s="26" t="s">
        <v>248</v>
      </c>
      <c r="Q79" s="1"/>
    </row>
    <row r="80" spans="2:17" ht="283.5" x14ac:dyDescent="0.15">
      <c r="B80" s="38">
        <f>MAX(B$11:B79)+1</f>
        <v>62</v>
      </c>
      <c r="C80" s="136"/>
      <c r="D80" s="166"/>
      <c r="E80" s="166"/>
      <c r="F80" s="166"/>
      <c r="G80" s="166"/>
      <c r="H80" s="168"/>
      <c r="I80" s="168"/>
      <c r="J80" s="168"/>
      <c r="K80" s="168"/>
      <c r="L80" s="168"/>
      <c r="M80" s="166"/>
      <c r="N80" s="4" t="s">
        <v>245</v>
      </c>
      <c r="O80" s="3" t="s">
        <v>246</v>
      </c>
      <c r="P80" s="26" t="s">
        <v>249</v>
      </c>
      <c r="Q80" s="26" t="s">
        <v>247</v>
      </c>
    </row>
    <row r="81" spans="1:17" ht="54" x14ac:dyDescent="0.15">
      <c r="B81" s="38">
        <f>MAX(B$11:B80)+1</f>
        <v>63</v>
      </c>
      <c r="C81" s="1" t="s">
        <v>266</v>
      </c>
      <c r="D81" s="10"/>
      <c r="E81" s="10"/>
      <c r="F81" s="10"/>
      <c r="G81" s="10" t="s">
        <v>33</v>
      </c>
      <c r="H81" s="50"/>
      <c r="I81" s="50"/>
      <c r="J81" s="56"/>
      <c r="K81" s="56"/>
      <c r="L81" s="56"/>
      <c r="M81" s="10"/>
      <c r="N81" s="4" t="s">
        <v>262</v>
      </c>
      <c r="O81" s="3" t="s">
        <v>8</v>
      </c>
      <c r="P81" s="26" t="s">
        <v>263</v>
      </c>
      <c r="Q81" s="1"/>
    </row>
    <row r="82" spans="1:17" ht="40.5" x14ac:dyDescent="0.15">
      <c r="B82" s="38">
        <f>MAX(B$11:B81)+1</f>
        <v>64</v>
      </c>
      <c r="C82" s="1" t="s">
        <v>265</v>
      </c>
      <c r="D82" s="9"/>
      <c r="E82" s="9"/>
      <c r="F82" s="9"/>
      <c r="G82" s="10" t="s">
        <v>33</v>
      </c>
      <c r="H82" s="48"/>
      <c r="I82" s="48"/>
      <c r="J82" s="56"/>
      <c r="K82" s="56"/>
      <c r="L82" s="56"/>
      <c r="M82" s="76"/>
      <c r="N82" s="4" t="s">
        <v>275</v>
      </c>
      <c r="O82" s="3" t="s">
        <v>8</v>
      </c>
      <c r="P82" s="26" t="s">
        <v>264</v>
      </c>
      <c r="Q82" s="26"/>
    </row>
    <row r="83" spans="1:17" ht="54" x14ac:dyDescent="0.15">
      <c r="B83" s="38">
        <f>MAX(B$11:B82)+1</f>
        <v>65</v>
      </c>
      <c r="C83" s="1" t="s">
        <v>267</v>
      </c>
      <c r="D83" s="10"/>
      <c r="E83" s="10"/>
      <c r="F83" s="10"/>
      <c r="G83" s="10" t="s">
        <v>33</v>
      </c>
      <c r="H83" s="50"/>
      <c r="I83" s="50"/>
      <c r="J83" s="61"/>
      <c r="K83" s="61"/>
      <c r="L83" s="78"/>
      <c r="M83" s="10"/>
      <c r="N83" s="4" t="s">
        <v>268</v>
      </c>
      <c r="O83" s="3" t="s">
        <v>8</v>
      </c>
      <c r="P83" s="26" t="s">
        <v>269</v>
      </c>
      <c r="Q83" s="1"/>
    </row>
    <row r="84" spans="1:17" ht="40.5" x14ac:dyDescent="0.15">
      <c r="B84" s="38">
        <f>MAX(B$11:B83)+1</f>
        <v>66</v>
      </c>
      <c r="C84" s="1" t="s">
        <v>270</v>
      </c>
      <c r="D84" s="9"/>
      <c r="E84" s="9"/>
      <c r="F84" s="9"/>
      <c r="G84" s="10" t="s">
        <v>33</v>
      </c>
      <c r="H84" s="48"/>
      <c r="I84" s="48"/>
      <c r="J84" s="62"/>
      <c r="K84" s="62"/>
      <c r="L84" s="77"/>
      <c r="M84" s="76"/>
      <c r="N84" s="4" t="s">
        <v>271</v>
      </c>
      <c r="O84" s="3" t="s">
        <v>8</v>
      </c>
      <c r="P84" s="26" t="s">
        <v>272</v>
      </c>
      <c r="Q84" s="26"/>
    </row>
    <row r="85" spans="1:17" ht="175.5" x14ac:dyDescent="0.15">
      <c r="B85" s="38">
        <f>MAX(B$11:B84)+1</f>
        <v>67</v>
      </c>
      <c r="C85" s="6" t="s">
        <v>276</v>
      </c>
      <c r="D85" s="10"/>
      <c r="E85" s="10"/>
      <c r="F85" s="10"/>
      <c r="G85" s="10" t="s">
        <v>33</v>
      </c>
      <c r="H85" s="50"/>
      <c r="I85" s="50"/>
      <c r="J85" s="61"/>
      <c r="K85" s="61"/>
      <c r="L85" s="78"/>
      <c r="M85" s="10"/>
      <c r="N85" s="4" t="s">
        <v>486</v>
      </c>
      <c r="O85" s="3" t="s">
        <v>8</v>
      </c>
      <c r="P85" s="26" t="s">
        <v>287</v>
      </c>
      <c r="Q85" s="26"/>
    </row>
    <row r="86" spans="1:17" ht="40.5" x14ac:dyDescent="0.15">
      <c r="B86" s="38">
        <f>MAX(B$11:B85)+1</f>
        <v>68</v>
      </c>
      <c r="C86" s="1" t="s">
        <v>288</v>
      </c>
      <c r="D86" s="9"/>
      <c r="E86" s="9"/>
      <c r="F86" s="9"/>
      <c r="G86" s="10" t="s">
        <v>33</v>
      </c>
      <c r="H86" s="48"/>
      <c r="I86" s="48"/>
      <c r="J86" s="62"/>
      <c r="K86" s="62"/>
      <c r="L86" s="77"/>
      <c r="M86" s="76"/>
      <c r="N86" s="4" t="s">
        <v>279</v>
      </c>
      <c r="O86" s="3" t="s">
        <v>8</v>
      </c>
      <c r="P86" s="26" t="s">
        <v>213</v>
      </c>
      <c r="Q86" s="26"/>
    </row>
    <row r="87" spans="1:17" ht="27" x14ac:dyDescent="0.15">
      <c r="B87" s="38">
        <f>MAX(B$11:B86)+1</f>
        <v>69</v>
      </c>
      <c r="C87" s="5" t="s">
        <v>277</v>
      </c>
      <c r="D87" s="9"/>
      <c r="E87" s="9"/>
      <c r="F87" s="9"/>
      <c r="G87" s="10" t="s">
        <v>33</v>
      </c>
      <c r="H87" s="48"/>
      <c r="I87" s="48"/>
      <c r="J87" s="61"/>
      <c r="K87" s="61"/>
      <c r="L87" s="78"/>
      <c r="M87" s="76"/>
      <c r="N87" s="4" t="s">
        <v>278</v>
      </c>
      <c r="O87" s="3" t="s">
        <v>8</v>
      </c>
      <c r="P87" s="26" t="s">
        <v>280</v>
      </c>
      <c r="Q87" s="1"/>
    </row>
    <row r="88" spans="1:17" ht="54" x14ac:dyDescent="0.15">
      <c r="B88" s="38">
        <f>MAX(B$11:B87)+1</f>
        <v>70</v>
      </c>
      <c r="C88" s="1" t="s">
        <v>281</v>
      </c>
      <c r="D88" s="10"/>
      <c r="E88" s="10"/>
      <c r="F88" s="10"/>
      <c r="G88" s="10" t="s">
        <v>33</v>
      </c>
      <c r="H88" s="50"/>
      <c r="I88" s="50"/>
      <c r="J88" s="62"/>
      <c r="K88" s="62"/>
      <c r="L88" s="77"/>
      <c r="M88" s="10"/>
      <c r="N88" s="4" t="s">
        <v>305</v>
      </c>
      <c r="O88" s="3" t="s">
        <v>8</v>
      </c>
      <c r="P88" s="26" t="s">
        <v>282</v>
      </c>
      <c r="Q88" s="1"/>
    </row>
    <row r="89" spans="1:17" ht="40.5" x14ac:dyDescent="0.15">
      <c r="B89" s="38">
        <f>MAX(B$11:B88)+1</f>
        <v>71</v>
      </c>
      <c r="C89" s="1" t="s">
        <v>283</v>
      </c>
      <c r="D89" s="9"/>
      <c r="E89" s="9"/>
      <c r="F89" s="9"/>
      <c r="G89" s="10" t="s">
        <v>33</v>
      </c>
      <c r="H89" s="48"/>
      <c r="I89" s="48"/>
      <c r="J89" s="62"/>
      <c r="K89" s="62"/>
      <c r="L89" s="77"/>
      <c r="M89" s="76"/>
      <c r="N89" s="4" t="s">
        <v>306</v>
      </c>
      <c r="O89" s="3" t="s">
        <v>8</v>
      </c>
      <c r="P89" s="26" t="s">
        <v>284</v>
      </c>
      <c r="Q89" s="26"/>
    </row>
    <row r="90" spans="1:17" ht="30" customHeight="1" x14ac:dyDescent="0.15">
      <c r="B90" s="67"/>
      <c r="C90" s="174" t="s">
        <v>332</v>
      </c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6"/>
    </row>
    <row r="91" spans="1:17" ht="27" x14ac:dyDescent="0.15">
      <c r="B91" s="67">
        <f>MAX(B$11:B90)+1</f>
        <v>72</v>
      </c>
      <c r="C91" s="68" t="s">
        <v>333</v>
      </c>
      <c r="D91" s="69"/>
      <c r="E91" s="69"/>
      <c r="F91" s="69"/>
      <c r="G91" s="69"/>
      <c r="H91" s="69"/>
      <c r="I91" s="69"/>
      <c r="J91" s="70"/>
      <c r="K91" s="69" t="s">
        <v>33</v>
      </c>
      <c r="L91" s="70"/>
      <c r="M91" s="69"/>
      <c r="N91" s="71" t="s">
        <v>330</v>
      </c>
      <c r="O91" s="72" t="s">
        <v>325</v>
      </c>
      <c r="P91" s="73" t="s">
        <v>337</v>
      </c>
      <c r="Q91" s="73"/>
    </row>
    <row r="92" spans="1:17" ht="45" customHeight="1" x14ac:dyDescent="0.15">
      <c r="B92" s="67">
        <f>MAX(B$11:B91)+1</f>
        <v>73</v>
      </c>
      <c r="C92" s="68" t="s">
        <v>331</v>
      </c>
      <c r="D92" s="69"/>
      <c r="E92" s="69"/>
      <c r="F92" s="69"/>
      <c r="G92" s="69"/>
      <c r="H92" s="69"/>
      <c r="I92" s="69"/>
      <c r="J92" s="69"/>
      <c r="K92" s="69" t="s">
        <v>33</v>
      </c>
      <c r="L92" s="69"/>
      <c r="M92" s="69"/>
      <c r="N92" s="82" t="s">
        <v>341</v>
      </c>
      <c r="O92" s="86" t="s">
        <v>352</v>
      </c>
      <c r="P92" s="82" t="s">
        <v>8</v>
      </c>
      <c r="Q92" s="82"/>
    </row>
    <row r="93" spans="1:17" ht="30" customHeight="1" x14ac:dyDescent="0.15">
      <c r="B93" s="38"/>
      <c r="C93" s="148" t="s">
        <v>316</v>
      </c>
      <c r="D93" s="149"/>
      <c r="E93" s="149"/>
      <c r="F93" s="149"/>
      <c r="G93" s="149"/>
      <c r="H93" s="149"/>
      <c r="I93" s="149"/>
      <c r="J93" s="149"/>
      <c r="K93" s="149"/>
      <c r="L93" s="149"/>
      <c r="M93" s="149"/>
      <c r="N93" s="149"/>
      <c r="O93" s="149"/>
      <c r="P93" s="149"/>
      <c r="Q93" s="150"/>
    </row>
    <row r="94" spans="1:17" ht="99.75" customHeight="1" x14ac:dyDescent="0.15">
      <c r="A94" s="125"/>
      <c r="B94" s="38">
        <f>MAX(B$11:B93)+1</f>
        <v>74</v>
      </c>
      <c r="C94" s="88" t="s">
        <v>311</v>
      </c>
      <c r="D94" s="89"/>
      <c r="E94" s="89"/>
      <c r="F94" s="89"/>
      <c r="G94" s="89"/>
      <c r="H94" s="89"/>
      <c r="I94" s="89" t="s">
        <v>33</v>
      </c>
      <c r="J94" s="114"/>
      <c r="K94" s="114"/>
      <c r="L94" s="114"/>
      <c r="M94" s="89"/>
      <c r="N94" s="120" t="s">
        <v>403</v>
      </c>
      <c r="O94" s="86"/>
      <c r="P94" s="120" t="s">
        <v>8</v>
      </c>
      <c r="Q94" s="120"/>
    </row>
    <row r="95" spans="1:17" ht="30" customHeight="1" x14ac:dyDescent="0.15">
      <c r="B95" s="38"/>
      <c r="C95" s="148" t="s">
        <v>414</v>
      </c>
      <c r="D95" s="149"/>
      <c r="E95" s="149"/>
      <c r="F95" s="149"/>
      <c r="G95" s="149"/>
      <c r="H95" s="149"/>
      <c r="I95" s="149"/>
      <c r="J95" s="149"/>
      <c r="K95" s="149"/>
      <c r="L95" s="149"/>
      <c r="M95" s="149"/>
      <c r="N95" s="149"/>
      <c r="O95" s="149"/>
      <c r="P95" s="149"/>
      <c r="Q95" s="150"/>
    </row>
    <row r="96" spans="1:17" ht="54" x14ac:dyDescent="0.15">
      <c r="B96" s="38">
        <f>MAX(B$11:B95)+1</f>
        <v>75</v>
      </c>
      <c r="C96" s="6" t="s">
        <v>462</v>
      </c>
      <c r="D96" s="10" t="s">
        <v>33</v>
      </c>
      <c r="E96" s="10"/>
      <c r="F96" s="10"/>
      <c r="G96" s="10"/>
      <c r="H96" s="50"/>
      <c r="I96" s="50"/>
      <c r="J96" s="52"/>
      <c r="K96" s="52"/>
      <c r="L96" s="52"/>
      <c r="M96" s="10"/>
      <c r="N96" s="4" t="s">
        <v>470</v>
      </c>
      <c r="O96" s="47" t="s">
        <v>463</v>
      </c>
      <c r="P96" s="46" t="s">
        <v>471</v>
      </c>
      <c r="Q96" s="46"/>
    </row>
    <row r="97" spans="2:17" ht="40.5" x14ac:dyDescent="0.15">
      <c r="B97" s="38">
        <f>MAX(B$11:B96)+1</f>
        <v>76</v>
      </c>
      <c r="C97" s="6" t="s">
        <v>415</v>
      </c>
      <c r="D97" s="10" t="s">
        <v>33</v>
      </c>
      <c r="E97" s="10"/>
      <c r="F97" s="10"/>
      <c r="G97" s="10"/>
      <c r="H97" s="50"/>
      <c r="I97" s="50"/>
      <c r="J97" s="61"/>
      <c r="K97" s="61"/>
      <c r="L97" s="78"/>
      <c r="M97" s="10"/>
      <c r="N97" s="4" t="s">
        <v>487</v>
      </c>
      <c r="O97" s="3" t="s">
        <v>8</v>
      </c>
      <c r="P97" s="46" t="s">
        <v>491</v>
      </c>
      <c r="Q97" s="60"/>
    </row>
    <row r="98" spans="2:17" ht="30" customHeight="1" x14ac:dyDescent="0.15">
      <c r="B98" s="38"/>
      <c r="C98" s="148" t="s">
        <v>317</v>
      </c>
      <c r="D98" s="149"/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50"/>
    </row>
    <row r="99" spans="2:17" ht="27" x14ac:dyDescent="0.15">
      <c r="B99" s="38">
        <f>MAX(B$11:B98)+1</f>
        <v>77</v>
      </c>
      <c r="C99" s="134" t="s">
        <v>289</v>
      </c>
      <c r="D99" s="9"/>
      <c r="E99" s="9" t="s">
        <v>33</v>
      </c>
      <c r="F99" s="9"/>
      <c r="G99" s="9"/>
      <c r="H99" s="48"/>
      <c r="I99" s="48"/>
      <c r="J99" s="65" t="s">
        <v>338</v>
      </c>
      <c r="K99" s="65" t="s">
        <v>338</v>
      </c>
      <c r="L99" s="77" t="s">
        <v>338</v>
      </c>
      <c r="M99" s="76"/>
      <c r="N99" s="29" t="s">
        <v>404</v>
      </c>
      <c r="O99" s="3" t="s">
        <v>8</v>
      </c>
      <c r="P99" s="2" t="s">
        <v>412</v>
      </c>
      <c r="Q99" s="1"/>
    </row>
    <row r="100" spans="2:17" ht="27" x14ac:dyDescent="0.15">
      <c r="B100" s="38">
        <f>MAX(B$11:B99)+1</f>
        <v>78</v>
      </c>
      <c r="C100" s="135"/>
      <c r="D100" s="9"/>
      <c r="E100" s="9"/>
      <c r="F100" s="9"/>
      <c r="G100" s="9" t="s">
        <v>33</v>
      </c>
      <c r="H100" s="48"/>
      <c r="I100" s="48"/>
      <c r="J100" s="51"/>
      <c r="K100" s="51"/>
      <c r="L100" s="51"/>
      <c r="M100" s="76"/>
      <c r="N100" s="29" t="s">
        <v>405</v>
      </c>
      <c r="O100" s="3" t="s">
        <v>8</v>
      </c>
      <c r="P100" s="2" t="s">
        <v>290</v>
      </c>
      <c r="Q100" s="1"/>
    </row>
    <row r="101" spans="2:17" x14ac:dyDescent="0.15">
      <c r="B101" s="38"/>
      <c r="C101" s="41" t="s">
        <v>291</v>
      </c>
      <c r="D101" s="42"/>
      <c r="E101" s="42"/>
      <c r="F101" s="42"/>
      <c r="G101" s="42"/>
      <c r="H101" s="42"/>
      <c r="I101" s="42"/>
      <c r="J101" s="53"/>
      <c r="K101" s="53"/>
      <c r="L101" s="53"/>
      <c r="M101" s="42"/>
      <c r="N101" s="43"/>
      <c r="O101" s="44"/>
      <c r="P101" s="45"/>
      <c r="Q101" s="45"/>
    </row>
  </sheetData>
  <autoFilter ref="B12:R101"/>
  <mergeCells count="155">
    <mergeCell ref="K74:K76"/>
    <mergeCell ref="K77:K78"/>
    <mergeCell ref="C71:C73"/>
    <mergeCell ref="M71:M73"/>
    <mergeCell ref="M74:M76"/>
    <mergeCell ref="M77:M78"/>
    <mergeCell ref="G71:G73"/>
    <mergeCell ref="D71:D73"/>
    <mergeCell ref="E71:E73"/>
    <mergeCell ref="F71:F73"/>
    <mergeCell ref="J71:J73"/>
    <mergeCell ref="J74:J76"/>
    <mergeCell ref="J77:J78"/>
    <mergeCell ref="H74:H76"/>
    <mergeCell ref="I74:I76"/>
    <mergeCell ref="L74:L76"/>
    <mergeCell ref="L77:L78"/>
    <mergeCell ref="C77:C78"/>
    <mergeCell ref="C74:C76"/>
    <mergeCell ref="D74:D76"/>
    <mergeCell ref="E74:E76"/>
    <mergeCell ref="F74:F76"/>
    <mergeCell ref="G74:G76"/>
    <mergeCell ref="H71:H73"/>
    <mergeCell ref="I71:I73"/>
    <mergeCell ref="K71:K73"/>
    <mergeCell ref="C99:C100"/>
    <mergeCell ref="C95:Q95"/>
    <mergeCell ref="C98:Q98"/>
    <mergeCell ref="F79:F80"/>
    <mergeCell ref="G79:G80"/>
    <mergeCell ref="H79:H80"/>
    <mergeCell ref="C90:Q90"/>
    <mergeCell ref="K79:K80"/>
    <mergeCell ref="E79:E80"/>
    <mergeCell ref="M79:M80"/>
    <mergeCell ref="C79:C80"/>
    <mergeCell ref="L79:L80"/>
    <mergeCell ref="C93:Q93"/>
    <mergeCell ref="J79:J80"/>
    <mergeCell ref="H77:H78"/>
    <mergeCell ref="I77:I78"/>
    <mergeCell ref="I79:I80"/>
    <mergeCell ref="D79:D80"/>
    <mergeCell ref="D77:D78"/>
    <mergeCell ref="E77:E78"/>
    <mergeCell ref="F77:F78"/>
    <mergeCell ref="G77:G78"/>
    <mergeCell ref="M63:M64"/>
    <mergeCell ref="M67:M69"/>
    <mergeCell ref="J21:J22"/>
    <mergeCell ref="J23:J25"/>
    <mergeCell ref="J29:J30"/>
    <mergeCell ref="J31:J32"/>
    <mergeCell ref="J63:J64"/>
    <mergeCell ref="J67:J69"/>
    <mergeCell ref="K67:K69"/>
    <mergeCell ref="K21:K22"/>
    <mergeCell ref="K23:K25"/>
    <mergeCell ref="K29:K30"/>
    <mergeCell ref="L60:L61"/>
    <mergeCell ref="K60:K61"/>
    <mergeCell ref="J60:J61"/>
    <mergeCell ref="M23:M25"/>
    <mergeCell ref="M29:M30"/>
    <mergeCell ref="M31:M32"/>
    <mergeCell ref="C27:Q27"/>
    <mergeCell ref="C40:Q40"/>
    <mergeCell ref="C44:Q44"/>
    <mergeCell ref="C54:Q54"/>
    <mergeCell ref="C65:Q65"/>
    <mergeCell ref="K63:K64"/>
    <mergeCell ref="L63:L64"/>
    <mergeCell ref="E21:E22"/>
    <mergeCell ref="F21:F22"/>
    <mergeCell ref="G21:G22"/>
    <mergeCell ref="H21:H22"/>
    <mergeCell ref="D60:D61"/>
    <mergeCell ref="E60:E61"/>
    <mergeCell ref="F60:F61"/>
    <mergeCell ref="G60:G61"/>
    <mergeCell ref="H60:H61"/>
    <mergeCell ref="L21:L22"/>
    <mergeCell ref="H29:H30"/>
    <mergeCell ref="I29:I30"/>
    <mergeCell ref="H31:H32"/>
    <mergeCell ref="K31:K32"/>
    <mergeCell ref="I60:I61"/>
    <mergeCell ref="G29:G30"/>
    <mergeCell ref="F31:F32"/>
    <mergeCell ref="G31:G32"/>
    <mergeCell ref="G63:G64"/>
    <mergeCell ref="M60:M61"/>
    <mergeCell ref="I21:I22"/>
    <mergeCell ref="L29:L30"/>
    <mergeCell ref="L31:L32"/>
    <mergeCell ref="C29:C30"/>
    <mergeCell ref="C21:C22"/>
    <mergeCell ref="D63:D64"/>
    <mergeCell ref="E63:E64"/>
    <mergeCell ref="N11:O11"/>
    <mergeCell ref="L23:L25"/>
    <mergeCell ref="M21:M22"/>
    <mergeCell ref="I63:I64"/>
    <mergeCell ref="I31:I32"/>
    <mergeCell ref="D31:D32"/>
    <mergeCell ref="E31:E32"/>
    <mergeCell ref="H63:H64"/>
    <mergeCell ref="D21:D22"/>
    <mergeCell ref="I23:I25"/>
    <mergeCell ref="D23:D25"/>
    <mergeCell ref="E23:E25"/>
    <mergeCell ref="F23:F25"/>
    <mergeCell ref="G23:G25"/>
    <mergeCell ref="H23:H25"/>
    <mergeCell ref="F29:F30"/>
    <mergeCell ref="P11:P12"/>
    <mergeCell ref="Q11:Q12"/>
    <mergeCell ref="C15:C19"/>
    <mergeCell ref="D15:D19"/>
    <mergeCell ref="E15:E19"/>
    <mergeCell ref="I15:I19"/>
    <mergeCell ref="C13:Q13"/>
    <mergeCell ref="M15:M19"/>
    <mergeCell ref="K15:K19"/>
    <mergeCell ref="J15:J19"/>
    <mergeCell ref="L15:L19"/>
    <mergeCell ref="C11:C12"/>
    <mergeCell ref="F15:F19"/>
    <mergeCell ref="G15:G19"/>
    <mergeCell ref="H15:H19"/>
    <mergeCell ref="B9:M9"/>
    <mergeCell ref="B8:M8"/>
    <mergeCell ref="B5:M5"/>
    <mergeCell ref="B6:M6"/>
    <mergeCell ref="B3:M3"/>
    <mergeCell ref="B2:M2"/>
    <mergeCell ref="D11:M11"/>
    <mergeCell ref="L67:L69"/>
    <mergeCell ref="L71:L73"/>
    <mergeCell ref="I67:I69"/>
    <mergeCell ref="B11:B12"/>
    <mergeCell ref="C67:C69"/>
    <mergeCell ref="D67:D69"/>
    <mergeCell ref="E67:E69"/>
    <mergeCell ref="F67:F69"/>
    <mergeCell ref="G67:G69"/>
    <mergeCell ref="H67:H69"/>
    <mergeCell ref="C63:C64"/>
    <mergeCell ref="F63:F64"/>
    <mergeCell ref="D29:D30"/>
    <mergeCell ref="E29:E30"/>
    <mergeCell ref="C60:C61"/>
    <mergeCell ref="C23:C25"/>
    <mergeCell ref="C31:C32"/>
  </mergeCells>
  <phoneticPr fontId="2"/>
  <hyperlinks>
    <hyperlink ref="N99" r:id="rId1" display="https://nec-it-automation/"/>
    <hyperlink ref="N100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8" scale="51" fitToHeight="0" orientation="portrait" r:id="rId3"/>
  <rowBreaks count="2" manualBreakCount="2">
    <brk id="26" max="14" man="1"/>
    <brk id="64" max="1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C9900"/>
    <pageSetUpPr fitToPage="1"/>
  </sheetPr>
  <dimension ref="B1:I105"/>
  <sheetViews>
    <sheetView view="pageBreakPreview" zoomScale="85" zoomScaleNormal="70" zoomScaleSheetLayoutView="85" workbookViewId="0">
      <pane xSplit="2" ySplit="4" topLeftCell="C5" activePane="bottomRight" state="frozen"/>
      <selection activeCell="B2" sqref="B2"/>
      <selection pane="topRight" activeCell="B2" sqref="B2"/>
      <selection pane="bottomLeft" activeCell="B2" sqref="B2"/>
      <selection pane="bottomRight" activeCell="E10" sqref="E10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7.5" bestFit="1" customWidth="1"/>
    <col min="6" max="6" width="60.625" customWidth="1"/>
  </cols>
  <sheetData>
    <row r="1" spans="2:6" ht="3" customHeight="1" x14ac:dyDescent="0.15"/>
    <row r="2" spans="2:6" ht="17.25" x14ac:dyDescent="0.15">
      <c r="B2" s="25" t="s">
        <v>75</v>
      </c>
    </row>
    <row r="3" spans="2:6" ht="3" customHeight="1" x14ac:dyDescent="0.15"/>
    <row r="4" spans="2:6" x14ac:dyDescent="0.15">
      <c r="B4" s="24" t="s">
        <v>74</v>
      </c>
      <c r="C4" s="24" t="s">
        <v>73</v>
      </c>
      <c r="D4" s="24" t="s">
        <v>72</v>
      </c>
      <c r="E4" s="24" t="s">
        <v>71</v>
      </c>
      <c r="F4" s="24" t="s">
        <v>5</v>
      </c>
    </row>
    <row r="5" spans="2:6" ht="30" customHeight="1" x14ac:dyDescent="0.15">
      <c r="B5" s="17">
        <v>1</v>
      </c>
      <c r="C5" s="22" t="s">
        <v>59</v>
      </c>
      <c r="D5" s="21" t="s">
        <v>43</v>
      </c>
      <c r="E5" s="23" t="s">
        <v>70</v>
      </c>
      <c r="F5" s="6"/>
    </row>
    <row r="6" spans="2:6" ht="30" customHeight="1" x14ac:dyDescent="0.15">
      <c r="B6" s="17">
        <v>2</v>
      </c>
      <c r="C6" s="22" t="s">
        <v>59</v>
      </c>
      <c r="D6" s="21" t="s">
        <v>43</v>
      </c>
      <c r="E6" s="20" t="s">
        <v>69</v>
      </c>
      <c r="F6" s="6"/>
    </row>
    <row r="7" spans="2:6" ht="30" customHeight="1" x14ac:dyDescent="0.15">
      <c r="B7" s="17">
        <v>3</v>
      </c>
      <c r="C7" s="22" t="s">
        <v>59</v>
      </c>
      <c r="D7" s="21" t="s">
        <v>43</v>
      </c>
      <c r="E7" s="20" t="s">
        <v>68</v>
      </c>
      <c r="F7" s="5"/>
    </row>
    <row r="8" spans="2:6" ht="30" customHeight="1" x14ac:dyDescent="0.15">
      <c r="B8" s="17">
        <v>4</v>
      </c>
      <c r="C8" s="22" t="s">
        <v>59</v>
      </c>
      <c r="D8" s="21" t="s">
        <v>43</v>
      </c>
      <c r="E8" s="23" t="s">
        <v>67</v>
      </c>
      <c r="F8" s="6"/>
    </row>
    <row r="9" spans="2:6" ht="30" customHeight="1" x14ac:dyDescent="0.15">
      <c r="B9" s="17">
        <v>5</v>
      </c>
      <c r="C9" s="22" t="s">
        <v>59</v>
      </c>
      <c r="D9" s="21" t="s">
        <v>43</v>
      </c>
      <c r="E9" s="23" t="s">
        <v>66</v>
      </c>
      <c r="F9" s="6"/>
    </row>
    <row r="10" spans="2:6" ht="30" customHeight="1" x14ac:dyDescent="0.15">
      <c r="B10" s="17">
        <v>6</v>
      </c>
      <c r="C10" s="22" t="s">
        <v>59</v>
      </c>
      <c r="D10" s="21" t="s">
        <v>43</v>
      </c>
      <c r="E10" s="20" t="s">
        <v>65</v>
      </c>
      <c r="F10" s="6" t="s">
        <v>419</v>
      </c>
    </row>
    <row r="11" spans="2:6" ht="30" customHeight="1" x14ac:dyDescent="0.15">
      <c r="B11" s="17">
        <v>7</v>
      </c>
      <c r="C11" s="22" t="s">
        <v>59</v>
      </c>
      <c r="D11" s="21" t="s">
        <v>43</v>
      </c>
      <c r="E11" s="20" t="s">
        <v>64</v>
      </c>
      <c r="F11" s="5"/>
    </row>
    <row r="12" spans="2:6" ht="30" customHeight="1" x14ac:dyDescent="0.15">
      <c r="B12" s="17">
        <v>8</v>
      </c>
      <c r="C12" s="22" t="s">
        <v>59</v>
      </c>
      <c r="D12" s="21" t="s">
        <v>43</v>
      </c>
      <c r="E12" s="23" t="s">
        <v>63</v>
      </c>
      <c r="F12" s="6" t="s">
        <v>419</v>
      </c>
    </row>
    <row r="13" spans="2:6" ht="30" customHeight="1" x14ac:dyDescent="0.15">
      <c r="B13" s="17">
        <v>9</v>
      </c>
      <c r="C13" s="22" t="s">
        <v>59</v>
      </c>
      <c r="D13" s="21" t="s">
        <v>43</v>
      </c>
      <c r="E13" s="23" t="s">
        <v>62</v>
      </c>
      <c r="F13" s="6"/>
    </row>
    <row r="14" spans="2:6" ht="54" x14ac:dyDescent="0.15">
      <c r="B14" s="17">
        <v>10</v>
      </c>
      <c r="C14" s="22" t="s">
        <v>59</v>
      </c>
      <c r="D14" s="21" t="s">
        <v>43</v>
      </c>
      <c r="E14" s="20" t="s">
        <v>61</v>
      </c>
      <c r="F14" s="6" t="s">
        <v>60</v>
      </c>
    </row>
    <row r="15" spans="2:6" ht="30" customHeight="1" x14ac:dyDescent="0.15">
      <c r="B15" s="17">
        <v>11</v>
      </c>
      <c r="C15" s="22" t="s">
        <v>59</v>
      </c>
      <c r="D15" s="21" t="s">
        <v>43</v>
      </c>
      <c r="E15" s="20" t="s">
        <v>58</v>
      </c>
      <c r="F15" s="5"/>
    </row>
    <row r="16" spans="2:6" ht="30" customHeight="1" x14ac:dyDescent="0.15">
      <c r="B16" s="17">
        <v>12</v>
      </c>
      <c r="C16" s="16" t="s">
        <v>44</v>
      </c>
      <c r="D16" s="15" t="s">
        <v>43</v>
      </c>
      <c r="E16" s="14" t="s">
        <v>57</v>
      </c>
      <c r="F16" s="13" t="s">
        <v>419</v>
      </c>
    </row>
    <row r="17" spans="2:6" ht="30" customHeight="1" x14ac:dyDescent="0.15">
      <c r="B17" s="17">
        <v>13</v>
      </c>
      <c r="C17" s="16" t="s">
        <v>44</v>
      </c>
      <c r="D17" s="15" t="s">
        <v>43</v>
      </c>
      <c r="E17" s="14" t="s">
        <v>56</v>
      </c>
      <c r="F17" s="13" t="s">
        <v>419</v>
      </c>
    </row>
    <row r="18" spans="2:6" ht="30" customHeight="1" x14ac:dyDescent="0.15">
      <c r="B18" s="17">
        <v>14</v>
      </c>
      <c r="C18" s="16" t="s">
        <v>44</v>
      </c>
      <c r="D18" s="15" t="s">
        <v>43</v>
      </c>
      <c r="E18" s="19" t="s">
        <v>55</v>
      </c>
      <c r="F18" s="13" t="s">
        <v>419</v>
      </c>
    </row>
    <row r="19" spans="2:6" ht="30" customHeight="1" x14ac:dyDescent="0.15">
      <c r="B19" s="17">
        <v>15</v>
      </c>
      <c r="C19" s="16" t="s">
        <v>44</v>
      </c>
      <c r="D19" s="15" t="s">
        <v>43</v>
      </c>
      <c r="E19" s="19" t="s">
        <v>54</v>
      </c>
      <c r="F19" s="13" t="s">
        <v>419</v>
      </c>
    </row>
    <row r="20" spans="2:6" ht="30" customHeight="1" x14ac:dyDescent="0.15">
      <c r="B20" s="17">
        <v>16</v>
      </c>
      <c r="C20" s="16" t="s">
        <v>44</v>
      </c>
      <c r="D20" s="15" t="s">
        <v>43</v>
      </c>
      <c r="E20" s="14" t="s">
        <v>53</v>
      </c>
      <c r="F20" s="13" t="s">
        <v>419</v>
      </c>
    </row>
    <row r="21" spans="2:6" ht="30" customHeight="1" x14ac:dyDescent="0.15">
      <c r="B21" s="17">
        <v>17</v>
      </c>
      <c r="C21" s="16" t="s">
        <v>44</v>
      </c>
      <c r="D21" s="15" t="s">
        <v>43</v>
      </c>
      <c r="E21" s="14" t="s">
        <v>52</v>
      </c>
      <c r="F21" s="13" t="s">
        <v>419</v>
      </c>
    </row>
    <row r="22" spans="2:6" ht="30" customHeight="1" x14ac:dyDescent="0.15">
      <c r="B22" s="17">
        <v>18</v>
      </c>
      <c r="C22" s="16" t="s">
        <v>44</v>
      </c>
      <c r="D22" s="15" t="s">
        <v>43</v>
      </c>
      <c r="E22" s="19" t="s">
        <v>51</v>
      </c>
      <c r="F22" s="13" t="s">
        <v>419</v>
      </c>
    </row>
    <row r="23" spans="2:6" ht="30" customHeight="1" x14ac:dyDescent="0.15">
      <c r="B23" s="17">
        <v>19</v>
      </c>
      <c r="C23" s="16" t="s">
        <v>44</v>
      </c>
      <c r="D23" s="15" t="s">
        <v>43</v>
      </c>
      <c r="E23" s="19" t="s">
        <v>50</v>
      </c>
      <c r="F23" s="13" t="s">
        <v>419</v>
      </c>
    </row>
    <row r="24" spans="2:6" ht="30" customHeight="1" x14ac:dyDescent="0.15">
      <c r="B24" s="17">
        <v>20</v>
      </c>
      <c r="C24" s="16" t="s">
        <v>44</v>
      </c>
      <c r="D24" s="15" t="s">
        <v>43</v>
      </c>
      <c r="E24" s="14" t="s">
        <v>49</v>
      </c>
      <c r="F24" s="13" t="s">
        <v>419</v>
      </c>
    </row>
    <row r="25" spans="2:6" ht="30" customHeight="1" x14ac:dyDescent="0.15">
      <c r="B25" s="17">
        <v>21</v>
      </c>
      <c r="C25" s="16" t="s">
        <v>44</v>
      </c>
      <c r="D25" s="15" t="s">
        <v>43</v>
      </c>
      <c r="E25" s="14" t="s">
        <v>48</v>
      </c>
      <c r="F25" s="13" t="s">
        <v>419</v>
      </c>
    </row>
    <row r="26" spans="2:6" ht="30" customHeight="1" x14ac:dyDescent="0.15">
      <c r="B26" s="17">
        <v>22</v>
      </c>
      <c r="C26" s="16" t="s">
        <v>44</v>
      </c>
      <c r="D26" s="15" t="s">
        <v>43</v>
      </c>
      <c r="E26" s="19" t="s">
        <v>47</v>
      </c>
      <c r="F26" s="13" t="s">
        <v>419</v>
      </c>
    </row>
    <row r="27" spans="2:6" ht="30" customHeight="1" x14ac:dyDescent="0.15">
      <c r="B27" s="17">
        <v>23</v>
      </c>
      <c r="C27" s="16" t="s">
        <v>44</v>
      </c>
      <c r="D27" s="15" t="s">
        <v>43</v>
      </c>
      <c r="E27" s="19" t="s">
        <v>46</v>
      </c>
      <c r="F27" s="18"/>
    </row>
    <row r="28" spans="2:6" ht="30" customHeight="1" x14ac:dyDescent="0.15">
      <c r="B28" s="17">
        <v>24</v>
      </c>
      <c r="C28" s="16" t="s">
        <v>44</v>
      </c>
      <c r="D28" s="15" t="s">
        <v>43</v>
      </c>
      <c r="E28" s="14" t="s">
        <v>45</v>
      </c>
      <c r="F28" s="13" t="s">
        <v>419</v>
      </c>
    </row>
    <row r="29" spans="2:6" ht="30" customHeight="1" x14ac:dyDescent="0.15">
      <c r="B29" s="17">
        <v>25</v>
      </c>
      <c r="C29" s="16" t="s">
        <v>44</v>
      </c>
      <c r="D29" s="15" t="s">
        <v>43</v>
      </c>
      <c r="E29" s="14" t="s">
        <v>42</v>
      </c>
      <c r="F29" s="13" t="s">
        <v>419</v>
      </c>
    </row>
    <row r="30" spans="2:6" ht="30" customHeight="1" x14ac:dyDescent="0.15">
      <c r="B30" s="17">
        <v>26</v>
      </c>
      <c r="C30" s="22" t="s">
        <v>59</v>
      </c>
      <c r="D30" s="21" t="s">
        <v>43</v>
      </c>
      <c r="E30" s="20" t="s">
        <v>298</v>
      </c>
      <c r="F30" s="6" t="s">
        <v>299</v>
      </c>
    </row>
    <row r="31" spans="2:6" ht="81" x14ac:dyDescent="0.15">
      <c r="B31" s="17">
        <v>27</v>
      </c>
      <c r="C31" s="22" t="s">
        <v>59</v>
      </c>
      <c r="D31" s="21" t="s">
        <v>43</v>
      </c>
      <c r="E31" s="20" t="s">
        <v>323</v>
      </c>
      <c r="F31" s="6" t="s">
        <v>420</v>
      </c>
    </row>
    <row r="32" spans="2:6" x14ac:dyDescent="0.15">
      <c r="E32" s="12"/>
    </row>
    <row r="46" spans="8:9" x14ac:dyDescent="0.15">
      <c r="H46" s="11"/>
    </row>
    <row r="48" spans="8:9" x14ac:dyDescent="0.15">
      <c r="H48" s="11"/>
      <c r="I48" s="11"/>
    </row>
    <row r="66" spans="8:8" x14ac:dyDescent="0.15">
      <c r="H66" s="11"/>
    </row>
    <row r="73" spans="8:8" x14ac:dyDescent="0.15">
      <c r="H73" s="11"/>
    </row>
    <row r="74" spans="8:8" x14ac:dyDescent="0.15">
      <c r="H74" s="11"/>
    </row>
    <row r="79" spans="8:8" x14ac:dyDescent="0.15">
      <c r="H79" s="11"/>
    </row>
    <row r="81" spans="8:8" x14ac:dyDescent="0.15">
      <c r="H81" s="11"/>
    </row>
    <row r="83" spans="8:8" x14ac:dyDescent="0.15">
      <c r="H83" s="11"/>
    </row>
    <row r="90" spans="8:8" x14ac:dyDescent="0.15">
      <c r="H90" s="11"/>
    </row>
    <row r="91" spans="8:8" x14ac:dyDescent="0.15">
      <c r="H91" s="11"/>
    </row>
    <row r="92" spans="8:8" x14ac:dyDescent="0.15">
      <c r="H92" s="11"/>
    </row>
    <row r="93" spans="8:8" x14ac:dyDescent="0.15">
      <c r="H93" s="11"/>
    </row>
    <row r="95" spans="8:8" x14ac:dyDescent="0.15">
      <c r="H95" s="11"/>
    </row>
    <row r="96" spans="8:8" x14ac:dyDescent="0.15">
      <c r="H96" s="11"/>
    </row>
    <row r="99" spans="8:8" x14ac:dyDescent="0.15">
      <c r="H99" s="11"/>
    </row>
    <row r="101" spans="8:8" x14ac:dyDescent="0.15">
      <c r="H101" s="11"/>
    </row>
    <row r="102" spans="8:8" x14ac:dyDescent="0.15">
      <c r="H102" s="11"/>
    </row>
    <row r="103" spans="8:8" x14ac:dyDescent="0.15">
      <c r="H103" s="11"/>
    </row>
    <row r="105" spans="8:8" x14ac:dyDescent="0.15">
      <c r="H105" s="11"/>
    </row>
  </sheetData>
  <autoFilter ref="B4:F29"/>
  <phoneticPr fontId="2"/>
  <pageMargins left="0.70866141732283472" right="0.70866141732283472" top="0.74803149606299213" bottom="0.74803149606299213" header="0.31496062992125984" footer="0.31496062992125984"/>
  <pageSetup paperSize="9" scale="5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C9900"/>
    <pageSetUpPr fitToPage="1"/>
  </sheetPr>
  <dimension ref="B1:I95"/>
  <sheetViews>
    <sheetView view="pageBreakPreview" zoomScale="85" zoomScaleNormal="70" zoomScaleSheetLayoutView="85" workbookViewId="0">
      <pane xSplit="2" ySplit="4" topLeftCell="C16" activePane="bottomRight" state="frozen"/>
      <selection activeCell="B2" sqref="B2"/>
      <selection pane="topRight" activeCell="B2" sqref="B2"/>
      <selection pane="bottomLeft" activeCell="B2" sqref="B2"/>
      <selection pane="bottomRight" activeCell="E25" sqref="E2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4.75" bestFit="1" customWidth="1"/>
    <col min="6" max="6" width="60.625" customWidth="1"/>
  </cols>
  <sheetData>
    <row r="1" spans="2:8" ht="3" customHeight="1" x14ac:dyDescent="0.15"/>
    <row r="2" spans="2:8" ht="17.25" x14ac:dyDescent="0.15">
      <c r="B2" s="25" t="s">
        <v>126</v>
      </c>
    </row>
    <row r="3" spans="2:8" ht="3" customHeight="1" x14ac:dyDescent="0.15"/>
    <row r="4" spans="2:8" x14ac:dyDescent="0.15">
      <c r="B4" s="24" t="s">
        <v>74</v>
      </c>
      <c r="C4" s="24" t="s">
        <v>73</v>
      </c>
      <c r="D4" s="24" t="s">
        <v>72</v>
      </c>
      <c r="E4" s="24" t="s">
        <v>71</v>
      </c>
      <c r="F4" s="24" t="s">
        <v>5</v>
      </c>
    </row>
    <row r="5" spans="2:8" ht="30" customHeight="1" x14ac:dyDescent="0.15">
      <c r="B5" s="17">
        <v>1</v>
      </c>
      <c r="C5" s="9" t="s">
        <v>59</v>
      </c>
      <c r="D5" s="23" t="s">
        <v>125</v>
      </c>
      <c r="E5" s="23" t="s">
        <v>124</v>
      </c>
      <c r="F5" s="5" t="s">
        <v>81</v>
      </c>
    </row>
    <row r="6" spans="2:8" ht="30" customHeight="1" x14ac:dyDescent="0.15">
      <c r="B6" s="17">
        <v>2</v>
      </c>
      <c r="C6" s="9" t="s">
        <v>59</v>
      </c>
      <c r="D6" s="23" t="s">
        <v>123</v>
      </c>
      <c r="E6" s="23" t="s">
        <v>122</v>
      </c>
      <c r="F6" s="5" t="s">
        <v>81</v>
      </c>
    </row>
    <row r="7" spans="2:8" ht="30" customHeight="1" x14ac:dyDescent="0.15">
      <c r="B7" s="17">
        <v>3</v>
      </c>
      <c r="C7" s="9" t="s">
        <v>59</v>
      </c>
      <c r="D7" s="23" t="s">
        <v>121</v>
      </c>
      <c r="E7" s="23" t="s">
        <v>120</v>
      </c>
      <c r="F7" s="5" t="s">
        <v>81</v>
      </c>
    </row>
    <row r="8" spans="2:8" ht="30" customHeight="1" x14ac:dyDescent="0.15">
      <c r="B8" s="17">
        <v>4</v>
      </c>
      <c r="C8" s="9" t="s">
        <v>59</v>
      </c>
      <c r="D8" s="23" t="s">
        <v>119</v>
      </c>
      <c r="E8" s="23" t="s">
        <v>118</v>
      </c>
      <c r="F8" s="5" t="s">
        <v>81</v>
      </c>
    </row>
    <row r="9" spans="2:8" ht="30" customHeight="1" x14ac:dyDescent="0.15">
      <c r="B9" s="17">
        <v>5</v>
      </c>
      <c r="C9" s="9" t="s">
        <v>59</v>
      </c>
      <c r="D9" s="23" t="s">
        <v>117</v>
      </c>
      <c r="E9" s="23" t="s">
        <v>116</v>
      </c>
      <c r="F9" s="5" t="s">
        <v>81</v>
      </c>
    </row>
    <row r="10" spans="2:8" ht="30" customHeight="1" x14ac:dyDescent="0.15">
      <c r="B10" s="17">
        <v>6</v>
      </c>
      <c r="C10" s="9" t="s">
        <v>59</v>
      </c>
      <c r="D10" s="23" t="s">
        <v>115</v>
      </c>
      <c r="E10" s="23" t="s">
        <v>114</v>
      </c>
      <c r="F10" s="5" t="s">
        <v>81</v>
      </c>
      <c r="H10" s="11"/>
    </row>
    <row r="11" spans="2:8" ht="30" customHeight="1" x14ac:dyDescent="0.15">
      <c r="B11" s="17">
        <v>7</v>
      </c>
      <c r="C11" s="9" t="s">
        <v>59</v>
      </c>
      <c r="D11" s="23" t="s">
        <v>113</v>
      </c>
      <c r="E11" s="23" t="s">
        <v>112</v>
      </c>
      <c r="F11" s="5" t="s">
        <v>81</v>
      </c>
    </row>
    <row r="12" spans="2:8" ht="30" customHeight="1" x14ac:dyDescent="0.15">
      <c r="B12" s="17">
        <v>8</v>
      </c>
      <c r="C12" s="9" t="s">
        <v>59</v>
      </c>
      <c r="D12" s="23" t="s">
        <v>111</v>
      </c>
      <c r="E12" s="23" t="s">
        <v>110</v>
      </c>
      <c r="F12" s="5" t="s">
        <v>81</v>
      </c>
    </row>
    <row r="13" spans="2:8" ht="30" customHeight="1" x14ac:dyDescent="0.15">
      <c r="B13" s="17">
        <v>9</v>
      </c>
      <c r="C13" s="9" t="s">
        <v>59</v>
      </c>
      <c r="D13" s="23" t="s">
        <v>109</v>
      </c>
      <c r="E13" s="23" t="s">
        <v>108</v>
      </c>
      <c r="F13" s="5" t="s">
        <v>81</v>
      </c>
      <c r="H13" s="11"/>
    </row>
    <row r="14" spans="2:8" ht="30" customHeight="1" x14ac:dyDescent="0.15">
      <c r="B14" s="17">
        <v>10</v>
      </c>
      <c r="C14" s="9" t="s">
        <v>59</v>
      </c>
      <c r="D14" s="23" t="s">
        <v>107</v>
      </c>
      <c r="E14" s="23" t="s">
        <v>106</v>
      </c>
      <c r="F14" s="5" t="s">
        <v>81</v>
      </c>
      <c r="H14" s="11"/>
    </row>
    <row r="15" spans="2:8" ht="30" customHeight="1" x14ac:dyDescent="0.15">
      <c r="B15" s="17">
        <v>11</v>
      </c>
      <c r="C15" s="9" t="s">
        <v>59</v>
      </c>
      <c r="D15" s="23" t="s">
        <v>105</v>
      </c>
      <c r="E15" s="23" t="s">
        <v>104</v>
      </c>
      <c r="F15" s="5" t="s">
        <v>81</v>
      </c>
    </row>
    <row r="16" spans="2:8" ht="30" customHeight="1" x14ac:dyDescent="0.15">
      <c r="B16" s="17">
        <v>12</v>
      </c>
      <c r="C16" s="9" t="s">
        <v>59</v>
      </c>
      <c r="D16" s="23" t="s">
        <v>103</v>
      </c>
      <c r="E16" s="23" t="s">
        <v>102</v>
      </c>
      <c r="F16" s="5" t="s">
        <v>81</v>
      </c>
    </row>
    <row r="17" spans="2:6" ht="30" customHeight="1" x14ac:dyDescent="0.15">
      <c r="B17" s="17">
        <v>13</v>
      </c>
      <c r="C17" s="9" t="s">
        <v>59</v>
      </c>
      <c r="D17" s="23" t="s">
        <v>101</v>
      </c>
      <c r="E17" s="23" t="s">
        <v>100</v>
      </c>
      <c r="F17" s="5" t="s">
        <v>81</v>
      </c>
    </row>
    <row r="18" spans="2:6" ht="30" customHeight="1" x14ac:dyDescent="0.15">
      <c r="B18" s="17">
        <v>14</v>
      </c>
      <c r="C18" s="9" t="s">
        <v>59</v>
      </c>
      <c r="D18" s="23" t="s">
        <v>99</v>
      </c>
      <c r="E18" s="23" t="s">
        <v>98</v>
      </c>
      <c r="F18" s="5" t="s">
        <v>81</v>
      </c>
    </row>
    <row r="19" spans="2:6" ht="30" customHeight="1" x14ac:dyDescent="0.15">
      <c r="B19" s="17">
        <v>15</v>
      </c>
      <c r="C19" s="9" t="s">
        <v>59</v>
      </c>
      <c r="D19" s="23" t="s">
        <v>97</v>
      </c>
      <c r="E19" s="23" t="s">
        <v>96</v>
      </c>
      <c r="F19" s="5" t="s">
        <v>81</v>
      </c>
    </row>
    <row r="20" spans="2:6" ht="30" customHeight="1" x14ac:dyDescent="0.15">
      <c r="B20" s="17">
        <v>16</v>
      </c>
      <c r="C20" s="9" t="s">
        <v>59</v>
      </c>
      <c r="D20" s="23" t="s">
        <v>95</v>
      </c>
      <c r="E20" s="23" t="s">
        <v>94</v>
      </c>
      <c r="F20" s="5" t="s">
        <v>81</v>
      </c>
    </row>
    <row r="21" spans="2:6" ht="30" customHeight="1" x14ac:dyDescent="0.15">
      <c r="B21" s="17">
        <v>17</v>
      </c>
      <c r="C21" s="9" t="s">
        <v>59</v>
      </c>
      <c r="D21" s="23" t="s">
        <v>93</v>
      </c>
      <c r="E21" s="23" t="s">
        <v>92</v>
      </c>
      <c r="F21" s="5" t="s">
        <v>81</v>
      </c>
    </row>
    <row r="22" spans="2:6" ht="30" customHeight="1" x14ac:dyDescent="0.15">
      <c r="B22" s="17">
        <v>18</v>
      </c>
      <c r="C22" s="9" t="s">
        <v>59</v>
      </c>
      <c r="D22" s="23" t="s">
        <v>91</v>
      </c>
      <c r="E22" s="23" t="s">
        <v>90</v>
      </c>
      <c r="F22" s="5" t="s">
        <v>81</v>
      </c>
    </row>
    <row r="23" spans="2:6" ht="30" customHeight="1" x14ac:dyDescent="0.15">
      <c r="B23" s="17">
        <v>19</v>
      </c>
      <c r="C23" s="9" t="s">
        <v>59</v>
      </c>
      <c r="D23" s="23" t="s">
        <v>89</v>
      </c>
      <c r="E23" s="23" t="s">
        <v>88</v>
      </c>
      <c r="F23" s="5" t="s">
        <v>81</v>
      </c>
    </row>
    <row r="24" spans="2:6" ht="30" customHeight="1" x14ac:dyDescent="0.15">
      <c r="B24" s="17">
        <v>20</v>
      </c>
      <c r="C24" s="9" t="s">
        <v>59</v>
      </c>
      <c r="D24" s="23" t="s">
        <v>87</v>
      </c>
      <c r="E24" s="23" t="s">
        <v>86</v>
      </c>
      <c r="F24" s="5" t="s">
        <v>81</v>
      </c>
    </row>
    <row r="25" spans="2:6" ht="30" customHeight="1" x14ac:dyDescent="0.15">
      <c r="B25" s="17">
        <v>21</v>
      </c>
      <c r="C25" s="9" t="s">
        <v>59</v>
      </c>
      <c r="D25" s="23" t="s">
        <v>85</v>
      </c>
      <c r="E25" s="23" t="s">
        <v>84</v>
      </c>
      <c r="F25" s="5" t="s">
        <v>81</v>
      </c>
    </row>
    <row r="26" spans="2:6" ht="30" customHeight="1" x14ac:dyDescent="0.15">
      <c r="B26" s="17">
        <v>22</v>
      </c>
      <c r="C26" s="9" t="s">
        <v>59</v>
      </c>
      <c r="D26" s="23" t="s">
        <v>83</v>
      </c>
      <c r="E26" s="23" t="s">
        <v>82</v>
      </c>
      <c r="F26" s="5" t="s">
        <v>81</v>
      </c>
    </row>
    <row r="27" spans="2:6" ht="30" customHeight="1" x14ac:dyDescent="0.15">
      <c r="B27" s="17">
        <v>23</v>
      </c>
      <c r="C27" s="9" t="s">
        <v>59</v>
      </c>
      <c r="D27" s="23" t="s">
        <v>80</v>
      </c>
      <c r="E27" s="23" t="s">
        <v>79</v>
      </c>
      <c r="F27" s="5" t="s">
        <v>76</v>
      </c>
    </row>
    <row r="28" spans="2:6" ht="30" customHeight="1" x14ac:dyDescent="0.15">
      <c r="B28" s="17">
        <v>24</v>
      </c>
      <c r="C28" s="9" t="s">
        <v>59</v>
      </c>
      <c r="D28" s="23" t="s">
        <v>78</v>
      </c>
      <c r="E28" s="23" t="s">
        <v>77</v>
      </c>
      <c r="F28" s="5" t="s">
        <v>76</v>
      </c>
    </row>
    <row r="36" spans="8:9" x14ac:dyDescent="0.15">
      <c r="H36" s="11"/>
    </row>
    <row r="38" spans="8:9" x14ac:dyDescent="0.15">
      <c r="H38" s="11"/>
      <c r="I38" s="11"/>
    </row>
    <row r="56" spans="8:8" x14ac:dyDescent="0.15">
      <c r="H56" s="11"/>
    </row>
    <row r="63" spans="8:8" x14ac:dyDescent="0.15">
      <c r="H63" s="11"/>
    </row>
    <row r="64" spans="8:8" x14ac:dyDescent="0.15">
      <c r="H64" s="11"/>
    </row>
    <row r="69" spans="8:8" x14ac:dyDescent="0.15">
      <c r="H69" s="11"/>
    </row>
    <row r="71" spans="8:8" x14ac:dyDescent="0.15">
      <c r="H71" s="11"/>
    </row>
    <row r="73" spans="8:8" x14ac:dyDescent="0.15">
      <c r="H73" s="11"/>
    </row>
    <row r="80" spans="8:8" x14ac:dyDescent="0.15">
      <c r="H80" s="11"/>
    </row>
    <row r="81" spans="8:8" x14ac:dyDescent="0.15">
      <c r="H81" s="11"/>
    </row>
    <row r="82" spans="8:8" x14ac:dyDescent="0.15">
      <c r="H82" s="11"/>
    </row>
    <row r="83" spans="8:8" x14ac:dyDescent="0.15">
      <c r="H83" s="11"/>
    </row>
    <row r="85" spans="8:8" x14ac:dyDescent="0.15">
      <c r="H85" s="11"/>
    </row>
    <row r="86" spans="8:8" x14ac:dyDescent="0.15">
      <c r="H86" s="11"/>
    </row>
    <row r="89" spans="8:8" x14ac:dyDescent="0.15">
      <c r="H89" s="11"/>
    </row>
    <row r="91" spans="8:8" x14ac:dyDescent="0.15">
      <c r="H91" s="11"/>
    </row>
    <row r="92" spans="8:8" x14ac:dyDescent="0.15">
      <c r="H92" s="11"/>
    </row>
    <row r="93" spans="8:8" x14ac:dyDescent="0.15">
      <c r="H93" s="11"/>
    </row>
    <row r="95" spans="8:8" x14ac:dyDescent="0.15">
      <c r="H95" s="11"/>
    </row>
  </sheetData>
  <autoFilter ref="B4:F23"/>
  <phoneticPr fontId="2"/>
  <pageMargins left="0.70866141732283472" right="0.70866141732283472" top="0.74803149606299213" bottom="0.74803149606299213" header="0.31496062992125984" footer="0.31496062992125984"/>
  <pageSetup paperSize="9" scale="51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C9900"/>
    <pageSetUpPr fitToPage="1"/>
  </sheetPr>
  <dimension ref="B1:H30"/>
  <sheetViews>
    <sheetView view="pageBreakPreview" zoomScale="85" zoomScaleNormal="70" zoomScaleSheetLayoutView="85" workbookViewId="0">
      <pane xSplit="2" ySplit="4" topLeftCell="C5" activePane="bottomRight" state="frozen"/>
      <selection activeCell="B2" sqref="B2"/>
      <selection pane="topRight" activeCell="B2" sqref="B2"/>
      <selection pane="bottomLeft" activeCell="B2" sqref="B2"/>
      <selection pane="bottomRight" activeCell="C5" sqref="C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5" width="45.625" customWidth="1"/>
    <col min="6" max="6" width="60.625" customWidth="1"/>
  </cols>
  <sheetData>
    <row r="1" spans="2:8" ht="3" customHeight="1" x14ac:dyDescent="0.15"/>
    <row r="2" spans="2:8" ht="17.25" x14ac:dyDescent="0.15">
      <c r="B2" s="25" t="s">
        <v>177</v>
      </c>
    </row>
    <row r="3" spans="2:8" ht="3" customHeight="1" x14ac:dyDescent="0.15"/>
    <row r="4" spans="2:8" x14ac:dyDescent="0.15">
      <c r="B4" s="24" t="s">
        <v>74</v>
      </c>
      <c r="C4" s="24" t="s">
        <v>73</v>
      </c>
      <c r="D4" s="24" t="s">
        <v>72</v>
      </c>
      <c r="E4" s="24" t="s">
        <v>71</v>
      </c>
      <c r="F4" s="24" t="s">
        <v>5</v>
      </c>
    </row>
    <row r="5" spans="2:8" ht="45" customHeight="1" x14ac:dyDescent="0.15">
      <c r="B5" s="17">
        <v>1</v>
      </c>
      <c r="C5" s="16" t="s">
        <v>44</v>
      </c>
      <c r="D5" s="14" t="s">
        <v>176</v>
      </c>
      <c r="E5" s="14" t="s">
        <v>175</v>
      </c>
      <c r="F5" s="13" t="s">
        <v>421</v>
      </c>
    </row>
    <row r="6" spans="2:8" ht="45" customHeight="1" x14ac:dyDescent="0.15">
      <c r="B6" s="17">
        <v>2</v>
      </c>
      <c r="C6" s="16" t="s">
        <v>44</v>
      </c>
      <c r="D6" s="14" t="s">
        <v>174</v>
      </c>
      <c r="E6" s="14" t="s">
        <v>173</v>
      </c>
      <c r="F6" s="13" t="s">
        <v>172</v>
      </c>
    </row>
    <row r="7" spans="2:8" ht="45" customHeight="1" x14ac:dyDescent="0.15">
      <c r="B7" s="17">
        <v>3</v>
      </c>
      <c r="C7" s="16" t="s">
        <v>44</v>
      </c>
      <c r="D7" s="14" t="s">
        <v>171</v>
      </c>
      <c r="E7" s="14" t="s">
        <v>170</v>
      </c>
      <c r="F7" s="13" t="s">
        <v>422</v>
      </c>
    </row>
    <row r="8" spans="2:8" ht="45" customHeight="1" x14ac:dyDescent="0.15">
      <c r="B8" s="17">
        <v>4</v>
      </c>
      <c r="C8" s="16" t="s">
        <v>44</v>
      </c>
      <c r="D8" s="14" t="s">
        <v>169</v>
      </c>
      <c r="E8" s="14" t="s">
        <v>168</v>
      </c>
      <c r="F8" s="13" t="s">
        <v>422</v>
      </c>
    </row>
    <row r="9" spans="2:8" ht="45" customHeight="1" x14ac:dyDescent="0.15">
      <c r="B9" s="17">
        <v>5</v>
      </c>
      <c r="C9" s="16" t="s">
        <v>44</v>
      </c>
      <c r="D9" s="14" t="s">
        <v>167</v>
      </c>
      <c r="E9" s="14" t="s">
        <v>166</v>
      </c>
      <c r="F9" s="13" t="s">
        <v>423</v>
      </c>
    </row>
    <row r="10" spans="2:8" ht="45" customHeight="1" x14ac:dyDescent="0.15">
      <c r="B10" s="17">
        <v>6</v>
      </c>
      <c r="C10" s="16" t="s">
        <v>44</v>
      </c>
      <c r="D10" s="14" t="s">
        <v>165</v>
      </c>
      <c r="E10" s="14" t="s">
        <v>164</v>
      </c>
      <c r="F10" s="13" t="s">
        <v>424</v>
      </c>
    </row>
    <row r="11" spans="2:8" ht="45" customHeight="1" x14ac:dyDescent="0.15">
      <c r="B11" s="17">
        <v>7</v>
      </c>
      <c r="C11" s="9" t="s">
        <v>59</v>
      </c>
      <c r="D11" s="23" t="s">
        <v>163</v>
      </c>
      <c r="E11" s="23" t="s">
        <v>162</v>
      </c>
      <c r="F11" s="5"/>
    </row>
    <row r="12" spans="2:8" ht="45" customHeight="1" x14ac:dyDescent="0.15">
      <c r="B12" s="17">
        <v>8</v>
      </c>
      <c r="C12" s="16" t="s">
        <v>44</v>
      </c>
      <c r="D12" s="14" t="s">
        <v>161</v>
      </c>
      <c r="E12" s="14" t="s">
        <v>160</v>
      </c>
      <c r="F12" s="13" t="s">
        <v>425</v>
      </c>
    </row>
    <row r="13" spans="2:8" ht="45" customHeight="1" x14ac:dyDescent="0.15">
      <c r="B13" s="17">
        <v>9</v>
      </c>
      <c r="C13" s="16" t="s">
        <v>44</v>
      </c>
      <c r="D13" s="14" t="s">
        <v>159</v>
      </c>
      <c r="E13" s="14" t="s">
        <v>158</v>
      </c>
      <c r="F13" s="13" t="s">
        <v>421</v>
      </c>
    </row>
    <row r="14" spans="2:8" ht="45" customHeight="1" x14ac:dyDescent="0.15">
      <c r="B14" s="17">
        <v>10</v>
      </c>
      <c r="C14" s="9" t="s">
        <v>59</v>
      </c>
      <c r="D14" s="23" t="s">
        <v>157</v>
      </c>
      <c r="E14" s="23" t="s">
        <v>156</v>
      </c>
      <c r="F14" s="5"/>
    </row>
    <row r="15" spans="2:8" ht="45" customHeight="1" x14ac:dyDescent="0.15">
      <c r="B15" s="17">
        <v>11</v>
      </c>
      <c r="C15" s="16" t="s">
        <v>44</v>
      </c>
      <c r="D15" s="14" t="s">
        <v>155</v>
      </c>
      <c r="E15" s="14" t="s">
        <v>154</v>
      </c>
      <c r="F15" s="13" t="s">
        <v>421</v>
      </c>
    </row>
    <row r="16" spans="2:8" ht="45" customHeight="1" x14ac:dyDescent="0.15">
      <c r="B16" s="17">
        <v>12</v>
      </c>
      <c r="C16" s="9" t="s">
        <v>59</v>
      </c>
      <c r="D16" s="23" t="s">
        <v>153</v>
      </c>
      <c r="E16" s="23" t="s">
        <v>152</v>
      </c>
      <c r="F16" s="6" t="s">
        <v>426</v>
      </c>
      <c r="H16" s="11"/>
    </row>
    <row r="17" spans="2:8" ht="45" customHeight="1" x14ac:dyDescent="0.15">
      <c r="B17" s="17">
        <v>13</v>
      </c>
      <c r="C17" s="16" t="s">
        <v>44</v>
      </c>
      <c r="D17" s="14" t="s">
        <v>151</v>
      </c>
      <c r="E17" s="14" t="s">
        <v>150</v>
      </c>
      <c r="F17" s="13" t="s">
        <v>421</v>
      </c>
    </row>
    <row r="18" spans="2:8" ht="45" customHeight="1" x14ac:dyDescent="0.15">
      <c r="B18" s="17">
        <v>14</v>
      </c>
      <c r="C18" s="16" t="s">
        <v>44</v>
      </c>
      <c r="D18" s="14" t="s">
        <v>149</v>
      </c>
      <c r="E18" s="14" t="s">
        <v>148</v>
      </c>
      <c r="F18" s="13" t="s">
        <v>421</v>
      </c>
    </row>
    <row r="19" spans="2:8" ht="45" customHeight="1" x14ac:dyDescent="0.15">
      <c r="B19" s="17">
        <v>15</v>
      </c>
      <c r="C19" s="9" t="s">
        <v>59</v>
      </c>
      <c r="D19" s="23" t="s">
        <v>147</v>
      </c>
      <c r="E19" s="23" t="s">
        <v>437</v>
      </c>
      <c r="F19" s="6" t="s">
        <v>146</v>
      </c>
    </row>
    <row r="20" spans="2:8" ht="45" customHeight="1" x14ac:dyDescent="0.15">
      <c r="B20" s="17">
        <v>16</v>
      </c>
      <c r="C20" s="9" t="s">
        <v>59</v>
      </c>
      <c r="D20" s="23" t="s">
        <v>145</v>
      </c>
      <c r="E20" s="23" t="s">
        <v>144</v>
      </c>
      <c r="F20" s="5" t="s">
        <v>81</v>
      </c>
    </row>
    <row r="21" spans="2:8" ht="45" customHeight="1" x14ac:dyDescent="0.15">
      <c r="B21" s="17">
        <v>17</v>
      </c>
      <c r="C21" s="9" t="s">
        <v>59</v>
      </c>
      <c r="D21" s="23" t="s">
        <v>143</v>
      </c>
      <c r="E21" s="23" t="s">
        <v>142</v>
      </c>
      <c r="F21" s="5" t="s">
        <v>76</v>
      </c>
      <c r="H21" s="11"/>
    </row>
    <row r="22" spans="2:8" ht="45" customHeight="1" x14ac:dyDescent="0.15">
      <c r="B22" s="17">
        <v>18</v>
      </c>
      <c r="C22" s="9" t="s">
        <v>59</v>
      </c>
      <c r="D22" s="23" t="s">
        <v>141</v>
      </c>
      <c r="E22" s="23" t="s">
        <v>140</v>
      </c>
      <c r="F22" s="5" t="s">
        <v>81</v>
      </c>
      <c r="H22" s="11"/>
    </row>
    <row r="23" spans="2:8" ht="45" customHeight="1" x14ac:dyDescent="0.15">
      <c r="B23" s="17">
        <v>19</v>
      </c>
      <c r="C23" s="9" t="s">
        <v>59</v>
      </c>
      <c r="D23" s="23" t="s">
        <v>139</v>
      </c>
      <c r="E23" s="23" t="s">
        <v>138</v>
      </c>
      <c r="F23" s="5" t="s">
        <v>76</v>
      </c>
    </row>
    <row r="24" spans="2:8" ht="45" customHeight="1" x14ac:dyDescent="0.15">
      <c r="B24" s="17">
        <v>20</v>
      </c>
      <c r="C24" s="9" t="s">
        <v>59</v>
      </c>
      <c r="D24" s="23" t="s">
        <v>137</v>
      </c>
      <c r="E24" s="23" t="s">
        <v>136</v>
      </c>
      <c r="F24" s="5" t="s">
        <v>81</v>
      </c>
    </row>
    <row r="25" spans="2:8" ht="45" customHeight="1" x14ac:dyDescent="0.15">
      <c r="B25" s="17">
        <v>21</v>
      </c>
      <c r="C25" s="9" t="s">
        <v>59</v>
      </c>
      <c r="D25" s="23" t="s">
        <v>135</v>
      </c>
      <c r="E25" s="23" t="s">
        <v>134</v>
      </c>
      <c r="F25" s="5" t="s">
        <v>81</v>
      </c>
    </row>
    <row r="26" spans="2:8" ht="45" customHeight="1" x14ac:dyDescent="0.15">
      <c r="B26" s="17">
        <v>22</v>
      </c>
      <c r="C26" s="9" t="s">
        <v>59</v>
      </c>
      <c r="D26" s="23" t="s">
        <v>133</v>
      </c>
      <c r="E26" s="23" t="s">
        <v>132</v>
      </c>
      <c r="F26" s="5" t="s">
        <v>81</v>
      </c>
    </row>
    <row r="27" spans="2:8" ht="45" customHeight="1" x14ac:dyDescent="0.15">
      <c r="B27" s="17">
        <v>23</v>
      </c>
      <c r="C27" s="9" t="s">
        <v>59</v>
      </c>
      <c r="D27" s="23" t="s">
        <v>131</v>
      </c>
      <c r="E27" s="23" t="s">
        <v>130</v>
      </c>
      <c r="F27" s="177" t="s">
        <v>129</v>
      </c>
    </row>
    <row r="28" spans="2:8" ht="45" customHeight="1" x14ac:dyDescent="0.15">
      <c r="B28" s="17">
        <v>24</v>
      </c>
      <c r="C28" s="9" t="s">
        <v>59</v>
      </c>
      <c r="D28" s="23" t="s">
        <v>128</v>
      </c>
      <c r="E28" s="23" t="s">
        <v>127</v>
      </c>
      <c r="F28" s="177"/>
    </row>
    <row r="29" spans="2:8" ht="45" customHeight="1" x14ac:dyDescent="0.15">
      <c r="B29" s="17">
        <v>25</v>
      </c>
      <c r="C29" s="9" t="s">
        <v>59</v>
      </c>
      <c r="D29" s="23" t="s">
        <v>318</v>
      </c>
      <c r="E29" s="23" t="s">
        <v>319</v>
      </c>
      <c r="F29" s="134" t="s">
        <v>322</v>
      </c>
    </row>
    <row r="30" spans="2:8" ht="45" customHeight="1" x14ac:dyDescent="0.15">
      <c r="B30" s="17">
        <v>26</v>
      </c>
      <c r="C30" s="9" t="s">
        <v>59</v>
      </c>
      <c r="D30" s="23" t="s">
        <v>320</v>
      </c>
      <c r="E30" s="23" t="s">
        <v>321</v>
      </c>
      <c r="F30" s="164"/>
    </row>
  </sheetData>
  <autoFilter ref="B4:F28"/>
  <mergeCells count="2">
    <mergeCell ref="F27:F28"/>
    <mergeCell ref="F29:F30"/>
  </mergeCells>
  <phoneticPr fontId="2"/>
  <pageMargins left="0.70866141732283472" right="0.70866141732283472" top="0.74803149606299213" bottom="0.74803149606299213" header="0.31496062992125984" footer="0.31496062992125984"/>
  <pageSetup paperSize="9" scale="5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B2:C8"/>
  <sheetViews>
    <sheetView workbookViewId="0"/>
  </sheetViews>
  <sheetFormatPr defaultRowHeight="13.5" x14ac:dyDescent="0.15"/>
  <cols>
    <col min="2" max="2" width="2.375" customWidth="1"/>
  </cols>
  <sheetData>
    <row r="2" spans="2:3" ht="18.75" x14ac:dyDescent="0.15">
      <c r="B2" s="118" t="s">
        <v>371</v>
      </c>
    </row>
    <row r="4" spans="2:3" x14ac:dyDescent="0.15">
      <c r="B4" t="s">
        <v>372</v>
      </c>
      <c r="C4" s="119" t="s">
        <v>373</v>
      </c>
    </row>
    <row r="5" spans="2:3" s="59" customFormat="1" ht="135" x14ac:dyDescent="0.15">
      <c r="C5" s="11" t="s">
        <v>488</v>
      </c>
    </row>
    <row r="7" spans="2:3" x14ac:dyDescent="0.15">
      <c r="B7" t="s">
        <v>372</v>
      </c>
      <c r="C7" s="119" t="s">
        <v>374</v>
      </c>
    </row>
    <row r="8" spans="2:3" ht="135" x14ac:dyDescent="0.15">
      <c r="C8" s="11" t="s">
        <v>489</v>
      </c>
    </row>
  </sheetData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C9900"/>
    <pageSetUpPr fitToPage="1"/>
  </sheetPr>
  <dimension ref="B1:L106"/>
  <sheetViews>
    <sheetView view="pageBreakPreview" zoomScale="85" zoomScaleNormal="70" zoomScaleSheetLayoutView="85" workbookViewId="0">
      <pane xSplit="2" ySplit="4" topLeftCell="F5" activePane="bottomRight" state="frozen"/>
      <selection activeCell="C13" sqref="C13:C18"/>
      <selection pane="topRight" activeCell="C13" sqref="C13:C18"/>
      <selection pane="bottomLeft" activeCell="C13" sqref="C13:C18"/>
      <selection pane="bottomRight" activeCell="I5" sqref="I5"/>
    </sheetView>
  </sheetViews>
  <sheetFormatPr defaultColWidth="1.625" defaultRowHeight="13.5" x14ac:dyDescent="0.15"/>
  <cols>
    <col min="2" max="2" width="3.375" bestFit="1" customWidth="1"/>
    <col min="3" max="8" width="10.875" customWidth="1"/>
    <col min="9" max="9" width="59.875" customWidth="1"/>
    <col min="10" max="10" width="76.75" bestFit="1" customWidth="1"/>
  </cols>
  <sheetData>
    <row r="1" spans="2:10" ht="3" customHeight="1" x14ac:dyDescent="0.15"/>
    <row r="2" spans="2:10" ht="17.25" x14ac:dyDescent="0.15">
      <c r="B2" s="25" t="s">
        <v>427</v>
      </c>
    </row>
    <row r="3" spans="2:10" ht="3" customHeight="1" x14ac:dyDescent="0.15"/>
    <row r="4" spans="2:10" x14ac:dyDescent="0.15">
      <c r="B4" s="24" t="s">
        <v>1</v>
      </c>
      <c r="C4" s="24" t="s">
        <v>406</v>
      </c>
      <c r="D4" s="24" t="s">
        <v>28</v>
      </c>
      <c r="E4" s="24" t="s">
        <v>29</v>
      </c>
      <c r="F4" s="24" t="s">
        <v>30</v>
      </c>
      <c r="G4" s="24" t="s">
        <v>31</v>
      </c>
      <c r="H4" s="24" t="s">
        <v>340</v>
      </c>
      <c r="I4" s="24" t="s">
        <v>188</v>
      </c>
      <c r="J4" s="24" t="s">
        <v>187</v>
      </c>
    </row>
    <row r="5" spans="2:10" ht="40.5" x14ac:dyDescent="0.15">
      <c r="B5" s="17">
        <v>1</v>
      </c>
      <c r="C5" s="57"/>
      <c r="D5" s="57" t="s">
        <v>178</v>
      </c>
      <c r="E5" s="57"/>
      <c r="F5" s="57"/>
      <c r="G5" s="57"/>
      <c r="H5" s="76"/>
      <c r="I5" s="23" t="s">
        <v>376</v>
      </c>
      <c r="J5" s="27" t="s">
        <v>186</v>
      </c>
    </row>
    <row r="6" spans="2:10" ht="121.5" x14ac:dyDescent="0.15">
      <c r="B6" s="17">
        <v>2</v>
      </c>
      <c r="C6" s="57"/>
      <c r="D6" s="57" t="s">
        <v>178</v>
      </c>
      <c r="E6" s="57"/>
      <c r="F6" s="57"/>
      <c r="G6" s="57"/>
      <c r="H6" s="76"/>
      <c r="I6" s="23" t="s">
        <v>377</v>
      </c>
      <c r="J6" s="27" t="s">
        <v>184</v>
      </c>
    </row>
    <row r="7" spans="2:10" ht="121.5" x14ac:dyDescent="0.15">
      <c r="B7" s="17">
        <v>3</v>
      </c>
      <c r="C7" s="57"/>
      <c r="D7" s="57"/>
      <c r="E7" s="57" t="s">
        <v>178</v>
      </c>
      <c r="F7" s="57"/>
      <c r="G7" s="57"/>
      <c r="H7" s="76"/>
      <c r="I7" s="23" t="s">
        <v>378</v>
      </c>
      <c r="J7" s="27" t="s">
        <v>184</v>
      </c>
    </row>
    <row r="8" spans="2:10" ht="121.5" x14ac:dyDescent="0.15">
      <c r="B8" s="17">
        <v>4</v>
      </c>
      <c r="C8" s="57"/>
      <c r="D8" s="57"/>
      <c r="E8" s="57"/>
      <c r="F8" s="57"/>
      <c r="G8" s="57" t="s">
        <v>178</v>
      </c>
      <c r="H8" s="76"/>
      <c r="I8" s="23" t="s">
        <v>379</v>
      </c>
      <c r="J8" s="27" t="s">
        <v>184</v>
      </c>
    </row>
    <row r="9" spans="2:10" ht="27" x14ac:dyDescent="0.15">
      <c r="B9" s="17">
        <v>5</v>
      </c>
      <c r="C9" s="57"/>
      <c r="D9" s="57"/>
      <c r="E9" s="57" t="s">
        <v>178</v>
      </c>
      <c r="F9" s="57"/>
      <c r="G9" s="57"/>
      <c r="H9" s="76"/>
      <c r="I9" s="23" t="s">
        <v>380</v>
      </c>
      <c r="J9" s="27" t="s">
        <v>185</v>
      </c>
    </row>
    <row r="10" spans="2:10" ht="135" x14ac:dyDescent="0.15">
      <c r="B10" s="17">
        <v>6</v>
      </c>
      <c r="C10" s="57" t="s">
        <v>183</v>
      </c>
      <c r="D10" s="57" t="s">
        <v>183</v>
      </c>
      <c r="E10" s="57" t="s">
        <v>183</v>
      </c>
      <c r="F10" s="57" t="s">
        <v>183</v>
      </c>
      <c r="G10" s="57" t="s">
        <v>183</v>
      </c>
      <c r="H10" s="76" t="s">
        <v>183</v>
      </c>
      <c r="I10" s="23" t="s">
        <v>381</v>
      </c>
      <c r="J10" s="27" t="s">
        <v>309</v>
      </c>
    </row>
    <row r="11" spans="2:10" ht="67.5" x14ac:dyDescent="0.15">
      <c r="B11" s="17">
        <v>7</v>
      </c>
      <c r="C11" s="57" t="s">
        <v>178</v>
      </c>
      <c r="D11" s="57"/>
      <c r="E11" s="57"/>
      <c r="F11" s="57"/>
      <c r="G11" s="57"/>
      <c r="H11" s="76"/>
      <c r="I11" s="23" t="s">
        <v>382</v>
      </c>
      <c r="J11" s="27" t="s">
        <v>339</v>
      </c>
    </row>
    <row r="12" spans="2:10" ht="54" x14ac:dyDescent="0.15">
      <c r="B12" s="17">
        <v>8</v>
      </c>
      <c r="C12" s="57" t="s">
        <v>178</v>
      </c>
      <c r="D12" s="57"/>
      <c r="E12" s="57"/>
      <c r="F12" s="57"/>
      <c r="G12" s="57"/>
      <c r="H12" s="76"/>
      <c r="I12" s="23" t="s">
        <v>383</v>
      </c>
      <c r="J12" s="27" t="s">
        <v>326</v>
      </c>
    </row>
    <row r="13" spans="2:10" ht="121.5" x14ac:dyDescent="0.15">
      <c r="B13" s="17">
        <v>9</v>
      </c>
      <c r="C13" s="57" t="s">
        <v>183</v>
      </c>
      <c r="D13" s="57"/>
      <c r="E13" s="57"/>
      <c r="F13" s="57"/>
      <c r="G13" s="57"/>
      <c r="H13" s="76"/>
      <c r="I13" s="23" t="s">
        <v>384</v>
      </c>
      <c r="J13" s="27" t="s">
        <v>184</v>
      </c>
    </row>
    <row r="14" spans="2:10" ht="40.5" x14ac:dyDescent="0.15">
      <c r="B14" s="17">
        <v>11</v>
      </c>
      <c r="C14" s="57"/>
      <c r="D14" s="57"/>
      <c r="E14" s="57"/>
      <c r="F14" s="57"/>
      <c r="G14" s="57"/>
      <c r="H14" s="76" t="s">
        <v>178</v>
      </c>
      <c r="I14" s="23" t="s">
        <v>385</v>
      </c>
      <c r="J14" s="27" t="s">
        <v>186</v>
      </c>
    </row>
    <row r="15" spans="2:10" ht="40.5" x14ac:dyDescent="0.15">
      <c r="B15" s="17">
        <v>12</v>
      </c>
      <c r="C15" s="57" t="s">
        <v>183</v>
      </c>
      <c r="D15" s="57" t="s">
        <v>178</v>
      </c>
      <c r="E15" s="57" t="s">
        <v>178</v>
      </c>
      <c r="F15" s="57" t="s">
        <v>178</v>
      </c>
      <c r="G15" s="57" t="s">
        <v>178</v>
      </c>
      <c r="H15" s="76" t="s">
        <v>178</v>
      </c>
      <c r="I15" s="23" t="s">
        <v>386</v>
      </c>
      <c r="J15" s="27" t="s">
        <v>310</v>
      </c>
    </row>
    <row r="16" spans="2:10" ht="54" x14ac:dyDescent="0.15">
      <c r="B16" s="17">
        <v>13</v>
      </c>
      <c r="C16" s="57" t="s">
        <v>183</v>
      </c>
      <c r="D16" s="57"/>
      <c r="E16" s="57"/>
      <c r="F16" s="57"/>
      <c r="G16" s="57"/>
      <c r="H16" s="76"/>
      <c r="I16" s="23" t="s">
        <v>387</v>
      </c>
      <c r="J16" s="27" t="s">
        <v>428</v>
      </c>
    </row>
    <row r="17" spans="2:11" ht="40.5" x14ac:dyDescent="0.15">
      <c r="B17" s="17">
        <v>14</v>
      </c>
      <c r="C17" s="57" t="s">
        <v>183</v>
      </c>
      <c r="D17" s="57"/>
      <c r="E17" s="57"/>
      <c r="F17" s="57"/>
      <c r="G17" s="57"/>
      <c r="H17" s="76"/>
      <c r="I17" s="23" t="s">
        <v>388</v>
      </c>
      <c r="J17" s="27" t="s">
        <v>429</v>
      </c>
    </row>
    <row r="18" spans="2:11" ht="54" x14ac:dyDescent="0.15">
      <c r="B18" s="17">
        <v>15</v>
      </c>
      <c r="C18" s="57" t="s">
        <v>178</v>
      </c>
      <c r="D18" s="57"/>
      <c r="E18" s="57"/>
      <c r="F18" s="57"/>
      <c r="G18" s="57"/>
      <c r="H18" s="76"/>
      <c r="I18" s="23" t="s">
        <v>389</v>
      </c>
      <c r="J18" s="27" t="s">
        <v>430</v>
      </c>
    </row>
    <row r="19" spans="2:11" ht="40.5" x14ac:dyDescent="0.15">
      <c r="B19" s="17">
        <v>16</v>
      </c>
      <c r="C19" s="57" t="s">
        <v>178</v>
      </c>
      <c r="D19" s="57" t="s">
        <v>178</v>
      </c>
      <c r="E19" s="57" t="s">
        <v>178</v>
      </c>
      <c r="F19" s="57" t="s">
        <v>178</v>
      </c>
      <c r="G19" s="57" t="s">
        <v>178</v>
      </c>
      <c r="H19" s="76" t="s">
        <v>178</v>
      </c>
      <c r="I19" s="23" t="s">
        <v>390</v>
      </c>
      <c r="J19" s="27" t="s">
        <v>431</v>
      </c>
    </row>
    <row r="20" spans="2:11" ht="67.5" x14ac:dyDescent="0.15">
      <c r="B20" s="17">
        <v>17</v>
      </c>
      <c r="C20" s="57" t="s">
        <v>178</v>
      </c>
      <c r="D20" s="57" t="s">
        <v>178</v>
      </c>
      <c r="E20" s="57" t="s">
        <v>178</v>
      </c>
      <c r="F20" s="57" t="s">
        <v>178</v>
      </c>
      <c r="G20" s="57" t="s">
        <v>178</v>
      </c>
      <c r="H20" s="76" t="s">
        <v>178</v>
      </c>
      <c r="I20" s="23" t="s">
        <v>391</v>
      </c>
      <c r="J20" s="27" t="s">
        <v>432</v>
      </c>
      <c r="K20" s="11"/>
    </row>
    <row r="21" spans="2:11" ht="54" x14ac:dyDescent="0.15">
      <c r="B21" s="17">
        <v>18</v>
      </c>
      <c r="C21" s="57" t="s">
        <v>178</v>
      </c>
      <c r="D21" s="57" t="s">
        <v>178</v>
      </c>
      <c r="E21" s="57" t="s">
        <v>178</v>
      </c>
      <c r="F21" s="57" t="s">
        <v>178</v>
      </c>
      <c r="G21" s="57" t="s">
        <v>178</v>
      </c>
      <c r="H21" s="76" t="s">
        <v>178</v>
      </c>
      <c r="I21" s="23" t="s">
        <v>392</v>
      </c>
      <c r="J21" s="28" t="s">
        <v>182</v>
      </c>
    </row>
    <row r="22" spans="2:11" ht="67.5" x14ac:dyDescent="0.15">
      <c r="B22" s="17">
        <v>19</v>
      </c>
      <c r="C22" s="57" t="s">
        <v>178</v>
      </c>
      <c r="D22" s="57" t="s">
        <v>178</v>
      </c>
      <c r="E22" s="57" t="s">
        <v>178</v>
      </c>
      <c r="F22" s="57" t="s">
        <v>178</v>
      </c>
      <c r="G22" s="57" t="s">
        <v>178</v>
      </c>
      <c r="H22" s="76" t="s">
        <v>178</v>
      </c>
      <c r="I22" s="23" t="s">
        <v>393</v>
      </c>
      <c r="J22" s="28" t="s">
        <v>433</v>
      </c>
    </row>
    <row r="23" spans="2:11" ht="67.5" x14ac:dyDescent="0.15">
      <c r="B23" s="17">
        <v>20</v>
      </c>
      <c r="C23" s="57" t="s">
        <v>178</v>
      </c>
      <c r="D23" s="57" t="s">
        <v>178</v>
      </c>
      <c r="E23" s="57" t="s">
        <v>178</v>
      </c>
      <c r="F23" s="57" t="s">
        <v>178</v>
      </c>
      <c r="G23" s="57" t="s">
        <v>178</v>
      </c>
      <c r="H23" s="76" t="s">
        <v>178</v>
      </c>
      <c r="I23" s="23" t="s">
        <v>394</v>
      </c>
      <c r="J23" s="28" t="s">
        <v>434</v>
      </c>
      <c r="K23" s="11"/>
    </row>
    <row r="24" spans="2:11" ht="40.5" x14ac:dyDescent="0.15">
      <c r="B24" s="17">
        <v>21</v>
      </c>
      <c r="C24" s="57" t="s">
        <v>178</v>
      </c>
      <c r="D24" s="57" t="s">
        <v>178</v>
      </c>
      <c r="E24" s="57"/>
      <c r="F24" s="57"/>
      <c r="G24" s="57"/>
      <c r="H24" s="76" t="s">
        <v>178</v>
      </c>
      <c r="I24" s="23" t="s">
        <v>395</v>
      </c>
      <c r="J24" s="27" t="s">
        <v>329</v>
      </c>
    </row>
    <row r="25" spans="2:11" ht="40.5" x14ac:dyDescent="0.15">
      <c r="B25" s="17">
        <v>22</v>
      </c>
      <c r="C25" s="57" t="s">
        <v>178</v>
      </c>
      <c r="D25" s="57"/>
      <c r="E25" s="57"/>
      <c r="F25" s="57"/>
      <c r="G25" s="57"/>
      <c r="H25" s="76"/>
      <c r="I25" s="23" t="s">
        <v>396</v>
      </c>
      <c r="J25" s="27" t="s">
        <v>324</v>
      </c>
    </row>
    <row r="26" spans="2:11" ht="67.5" x14ac:dyDescent="0.15">
      <c r="B26" s="17">
        <v>23</v>
      </c>
      <c r="C26" s="57"/>
      <c r="D26" s="57" t="s">
        <v>178</v>
      </c>
      <c r="E26" s="57"/>
      <c r="F26" s="57"/>
      <c r="G26" s="57"/>
      <c r="H26" s="76"/>
      <c r="I26" s="23" t="s">
        <v>397</v>
      </c>
      <c r="J26" s="28" t="s">
        <v>369</v>
      </c>
      <c r="K26" s="11"/>
    </row>
    <row r="27" spans="2:11" ht="67.5" x14ac:dyDescent="0.15">
      <c r="B27" s="17">
        <v>24</v>
      </c>
      <c r="C27" s="57"/>
      <c r="D27" s="57" t="s">
        <v>178</v>
      </c>
      <c r="E27" s="57"/>
      <c r="F27" s="57"/>
      <c r="G27" s="57"/>
      <c r="H27" s="76"/>
      <c r="I27" s="23" t="s">
        <v>398</v>
      </c>
      <c r="J27" s="28" t="s">
        <v>370</v>
      </c>
    </row>
    <row r="28" spans="2:11" ht="67.5" x14ac:dyDescent="0.15">
      <c r="B28" s="17">
        <v>27</v>
      </c>
      <c r="C28" s="57" t="s">
        <v>178</v>
      </c>
      <c r="D28" s="57"/>
      <c r="E28" s="57"/>
      <c r="F28" s="57"/>
      <c r="G28" s="57"/>
      <c r="H28" s="76"/>
      <c r="I28" s="23" t="s">
        <v>399</v>
      </c>
      <c r="J28" s="27" t="s">
        <v>181</v>
      </c>
    </row>
    <row r="29" spans="2:11" ht="121.5" x14ac:dyDescent="0.15">
      <c r="B29" s="17">
        <v>28</v>
      </c>
      <c r="C29" s="57" t="s">
        <v>178</v>
      </c>
      <c r="D29" s="57"/>
      <c r="E29" s="57"/>
      <c r="F29" s="57"/>
      <c r="G29" s="57"/>
      <c r="H29" s="76"/>
      <c r="I29" s="23" t="s">
        <v>400</v>
      </c>
      <c r="J29" s="27" t="s">
        <v>435</v>
      </c>
    </row>
    <row r="30" spans="2:11" ht="40.5" x14ac:dyDescent="0.15">
      <c r="B30" s="17">
        <v>29</v>
      </c>
      <c r="C30" s="57" t="s">
        <v>178</v>
      </c>
      <c r="D30" s="57"/>
      <c r="E30" s="57"/>
      <c r="F30" s="57"/>
      <c r="G30" s="57"/>
      <c r="H30" s="76"/>
      <c r="I30" s="23" t="s">
        <v>401</v>
      </c>
      <c r="J30" s="27" t="s">
        <v>180</v>
      </c>
    </row>
    <row r="31" spans="2:11" ht="40.5" x14ac:dyDescent="0.15">
      <c r="B31" s="17">
        <v>30</v>
      </c>
      <c r="C31" s="57" t="s">
        <v>178</v>
      </c>
      <c r="D31" s="57"/>
      <c r="E31" s="57"/>
      <c r="F31" s="57"/>
      <c r="G31" s="57"/>
      <c r="H31" s="76"/>
      <c r="I31" s="23" t="s">
        <v>402</v>
      </c>
      <c r="J31" s="27" t="s">
        <v>179</v>
      </c>
    </row>
    <row r="47" spans="11:11" x14ac:dyDescent="0.15">
      <c r="K47" s="11"/>
    </row>
    <row r="49" spans="11:12" x14ac:dyDescent="0.15">
      <c r="K49" s="11"/>
      <c r="L49" s="11"/>
    </row>
    <row r="67" spans="11:11" x14ac:dyDescent="0.15">
      <c r="K67" s="11"/>
    </row>
    <row r="74" spans="11:11" x14ac:dyDescent="0.15">
      <c r="K74" s="11"/>
    </row>
    <row r="75" spans="11:11" x14ac:dyDescent="0.15">
      <c r="K75" s="11"/>
    </row>
    <row r="80" spans="11:11" x14ac:dyDescent="0.15">
      <c r="K80" s="11"/>
    </row>
    <row r="82" spans="11:11" x14ac:dyDescent="0.15">
      <c r="K82" s="11"/>
    </row>
    <row r="84" spans="11:11" x14ac:dyDescent="0.15">
      <c r="K84" s="11"/>
    </row>
    <row r="91" spans="11:11" x14ac:dyDescent="0.15">
      <c r="K91" s="11"/>
    </row>
    <row r="92" spans="11:11" x14ac:dyDescent="0.15">
      <c r="K92" s="11"/>
    </row>
    <row r="93" spans="11:11" x14ac:dyDescent="0.15">
      <c r="K93" s="11"/>
    </row>
    <row r="94" spans="11:11" x14ac:dyDescent="0.15">
      <c r="K94" s="11"/>
    </row>
    <row r="96" spans="11:11" x14ac:dyDescent="0.15">
      <c r="K96" s="11"/>
    </row>
    <row r="97" spans="11:11" x14ac:dyDescent="0.15">
      <c r="K97" s="11"/>
    </row>
    <row r="100" spans="11:11" x14ac:dyDescent="0.15">
      <c r="K100" s="11"/>
    </row>
    <row r="102" spans="11:11" x14ac:dyDescent="0.15">
      <c r="K102" s="11"/>
    </row>
    <row r="103" spans="11:11" x14ac:dyDescent="0.15">
      <c r="K103" s="11"/>
    </row>
    <row r="104" spans="11:11" x14ac:dyDescent="0.15">
      <c r="K104" s="11"/>
    </row>
    <row r="106" spans="11:11" x14ac:dyDescent="0.15">
      <c r="K106" s="11"/>
    </row>
  </sheetData>
  <autoFilter ref="B4:J31"/>
  <phoneticPr fontId="2"/>
  <pageMargins left="0.70866141732283472" right="0.70866141732283472" top="0.74803149606299213" bottom="0.74803149606299213" header="0.31496062992125984" footer="0.31496062992125984"/>
  <pageSetup paperSize="9" scale="4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D2:G4"/>
  <sheetViews>
    <sheetView workbookViewId="0"/>
  </sheetViews>
  <sheetFormatPr defaultRowHeight="13.5" x14ac:dyDescent="0.15"/>
  <cols>
    <col min="1" max="16384" width="9" style="117"/>
  </cols>
  <sheetData>
    <row r="2" spans="4:7" x14ac:dyDescent="0.15">
      <c r="D2" s="115" t="s">
        <v>366</v>
      </c>
      <c r="E2" s="116"/>
    </row>
    <row r="3" spans="4:7" x14ac:dyDescent="0.15">
      <c r="G3" s="117" t="s">
        <v>367</v>
      </c>
    </row>
    <row r="4" spans="4:7" x14ac:dyDescent="0.15">
      <c r="D4" s="115" t="s">
        <v>368</v>
      </c>
      <c r="E4" s="116"/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3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astrollインストール手順書(環境構築スクリプト使用)</vt:lpstr>
      <vt:lpstr>astrollインストール手順書(手動)</vt:lpstr>
      <vt:lpstr>【参考】my.cnf変更箇所リスト</vt:lpstr>
      <vt:lpstr>【参考】ansible.cfg変更箇所リスト</vt:lpstr>
      <vt:lpstr>【参考】php.ini変更箇所リスト</vt:lpstr>
      <vt:lpstr>755,777権限リスト</vt:lpstr>
      <vt:lpstr>ITA設定ファイル説明</vt:lpstr>
      <vt:lpstr>暗号化ツール</vt:lpstr>
      <vt:lpstr>【参考】ansible.cfg変更箇所リスト!Print_Area</vt:lpstr>
      <vt:lpstr>【参考】my.cnf変更箇所リスト!Print_Area</vt:lpstr>
      <vt:lpstr>【参考】php.ini変更箇所リスト!Print_Area</vt:lpstr>
      <vt:lpstr>'astrollインストール手順書(環境構築スクリプト使用)'!Print_Area</vt:lpstr>
      <vt:lpstr>'astrollインストール手順書(手動)'!Print_Area</vt:lpstr>
      <vt:lpstr>ITA設定ファイル説明!Print_Area</vt:lpstr>
      <vt:lpstr>'astrollインストール手順書(環境構築スクリプト使用)'!Print_Titles</vt:lpstr>
      <vt:lpstr>'astrollインストール手順書(手動)'!Print_Titles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2019-05-16T07:49:46Z</dcterms:created>
  <dcterms:modified xsi:type="dcterms:W3CDTF">2019-05-16T07:50:26Z</dcterms:modified>
</cp:coreProperties>
</file>